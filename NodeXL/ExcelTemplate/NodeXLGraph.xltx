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D:\Dropbox\NodeXL SourceCode\NodeXL\ExcelTemplate\"/>
    </mc:Choice>
  </mc:AlternateContent>
  <bookViews>
    <workbookView xWindow="0" yWindow="0" windowWidth="12015" windowHeight="985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52511"/>
</workbook>
</file>

<file path=xl/calcChain.xml><?xml version="1.0" encoding="utf-8"?>
<calcChain xmlns="http://schemas.openxmlformats.org/spreadsheetml/2006/main">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72" i="7"/>
  <c r="B71" i="7"/>
  <c r="B58" i="7"/>
  <c r="B57" i="7"/>
  <c r="B88" i="7"/>
  <c r="B87" i="7"/>
  <c r="J45" i="7"/>
  <c r="K45" i="7" s="1"/>
  <c r="J2" i="7"/>
  <c r="B74" i="7"/>
  <c r="B73" i="7"/>
  <c r="H45" i="7"/>
  <c r="I45" i="7" s="1"/>
  <c r="H2" i="7"/>
  <c r="B60" i="7"/>
  <c r="B59" i="7"/>
  <c r="F45" i="7"/>
  <c r="G45" i="7" s="1"/>
  <c r="F2" i="7"/>
  <c r="B44" i="7"/>
  <c r="B43" i="7"/>
  <c r="B46" i="7"/>
  <c r="B45"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<sst xmlns="http://schemas.openxmlformats.org/spreadsheetml/2006/main" count="215" uniqueCount="173">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</sst>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9">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tableStyleElement type="wholeTable" dxfId="98"/>
      <tableStyleElement type="headerRow" dxfId="97"/>
    </tableStyle>
    <tableStyle name="NodeXL Table" pivot="0" count="1">
      <tableStyleElement type="header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634539472"/>
        <c:axId val="634540032"/>
      </c:barChart>
      <c:catAx>
        <c:axId val="63453947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634540032"/>
        <c:crosses val="autoZero"/>
        <c:auto val="1"/>
        <c:lblAlgn val="ctr"/>
        <c:lblOffset val="100"/>
        <c:noMultiLvlLbl val="0"/>
      </c:catAx>
      <c:valAx>
        <c:axId val="6345400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63453947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634542272"/>
        <c:axId val="634542832"/>
      </c:barChart>
      <c:catAx>
        <c:axId val="634542272"/>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634542832"/>
        <c:crosses val="autoZero"/>
        <c:auto val="1"/>
        <c:lblAlgn val="ctr"/>
        <c:lblOffset val="100"/>
        <c:noMultiLvlLbl val="0"/>
      </c:catAx>
      <c:valAx>
        <c:axId val="6345428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63454227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832304"/>
        <c:axId val="715832864"/>
      </c:barChart>
      <c:catAx>
        <c:axId val="715832304"/>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715832864"/>
        <c:crosses val="autoZero"/>
        <c:auto val="1"/>
        <c:lblAlgn val="ctr"/>
        <c:lblOffset val="100"/>
        <c:noMultiLvlLbl val="0"/>
      </c:catAx>
      <c:valAx>
        <c:axId val="7158328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8323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867104"/>
        <c:axId val="715867664"/>
      </c:barChart>
      <c:catAx>
        <c:axId val="71586710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715867664"/>
        <c:crosses val="autoZero"/>
        <c:auto val="1"/>
        <c:lblAlgn val="ctr"/>
        <c:lblOffset val="100"/>
        <c:noMultiLvlLbl val="0"/>
      </c:catAx>
      <c:valAx>
        <c:axId val="7158676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8671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869904"/>
        <c:axId val="715535680"/>
      </c:barChart>
      <c:catAx>
        <c:axId val="715869904"/>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715535680"/>
        <c:crosses val="autoZero"/>
        <c:auto val="1"/>
        <c:lblAlgn val="ctr"/>
        <c:lblOffset val="100"/>
        <c:noMultiLvlLbl val="0"/>
      </c:catAx>
      <c:valAx>
        <c:axId val="7155356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8699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537920"/>
        <c:axId val="715538480"/>
      </c:barChart>
      <c:catAx>
        <c:axId val="71553792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715538480"/>
        <c:crosses val="autoZero"/>
        <c:auto val="1"/>
        <c:lblAlgn val="ctr"/>
        <c:lblOffset val="100"/>
        <c:noMultiLvlLbl val="0"/>
      </c:catAx>
      <c:valAx>
        <c:axId val="7155384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53792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587808"/>
        <c:axId val="715588368"/>
      </c:barChart>
      <c:catAx>
        <c:axId val="715587808"/>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715588368"/>
        <c:crosses val="autoZero"/>
        <c:auto val="1"/>
        <c:lblAlgn val="ctr"/>
        <c:lblOffset val="100"/>
        <c:noMultiLvlLbl val="0"/>
      </c:catAx>
      <c:valAx>
        <c:axId val="7155883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58780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659856"/>
        <c:axId val="715660416"/>
      </c:barChart>
      <c:catAx>
        <c:axId val="71565985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715660416"/>
        <c:crosses val="autoZero"/>
        <c:auto val="1"/>
        <c:lblAlgn val="ctr"/>
        <c:lblOffset val="100"/>
        <c:noMultiLvlLbl val="0"/>
      </c:catAx>
      <c:valAx>
        <c:axId val="715660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65985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662656"/>
        <c:axId val="715663216"/>
      </c:barChart>
      <c:catAx>
        <c:axId val="715662656"/>
        <c:scaling>
          <c:orientation val="minMax"/>
        </c:scaling>
        <c:delete val="1"/>
        <c:axPos val="b"/>
        <c:numFmt formatCode="#,##0.00" sourceLinked="1"/>
        <c:majorTickMark val="out"/>
        <c:minorTickMark val="none"/>
        <c:tickLblPos val="none"/>
        <c:crossAx val="715663216"/>
        <c:crosses val="autoZero"/>
        <c:auto val="1"/>
        <c:lblAlgn val="ctr"/>
        <c:lblOffset val="100"/>
        <c:noMultiLvlLbl val="0"/>
      </c:catAx>
      <c:valAx>
        <c:axId val="715663216"/>
        <c:scaling>
          <c:orientation val="minMax"/>
        </c:scaling>
        <c:delete val="1"/>
        <c:axPos val="l"/>
        <c:numFmt formatCode="General" sourceLinked="1"/>
        <c:majorTickMark val="out"/>
        <c:minorTickMark val="none"/>
        <c:tickLblPos val="none"/>
        <c:crossAx val="715662656"/>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4" totalsRowShown="0" headerRowDxfId="1">
  <autoFilter ref="J1:K4"/>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x14ac:dyDescent="0.25">
      <c r="C1" s="18" t="s">
        <v>40</v>
      </c>
      <c r="D1" s="19"/>
      <c r="E1" s="19"/>
      <c r="F1" s="19"/>
      <c r="G1" s="18"/>
      <c r="H1" s="16" t="s">
        <v>44</v>
      </c>
      <c r="I1" s="66"/>
      <c r="J1" s="66"/>
      <c r="K1" s="35" t="s">
        <v>43</v>
      </c>
      <c r="L1" s="20" t="s">
        <v>41</v>
      </c>
      <c r="M1" s="20"/>
      <c r="N1" s="17" t="s">
        <v>42</v>
      </c>
    </row>
    <row r="2" spans="1:14" ht="30" customHeight="1" x14ac:dyDescent="0.25">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x14ac:dyDescent="0.25">
      <c r="A3" s="50"/>
      <c r="B3" s="50"/>
      <c r="C3" s="54"/>
      <c r="D3" s="55"/>
      <c r="E3" s="67"/>
      <c r="F3" s="56"/>
      <c r="G3" s="54"/>
      <c r="H3" s="58"/>
      <c r="I3" s="57"/>
      <c r="J3" s="57"/>
      <c r="K3" s="69"/>
      <c r="L3" s="63"/>
      <c r="M3" s="63"/>
      <c r="N3" s="64"/>
    </row>
    <row r="4" spans="1:14" ht="15" customHeight="1" x14ac:dyDescent="0.25"/>
    <row r="23" spans="13:13" x14ac:dyDescent="0.25">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x14ac:dyDescent="0.25">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x14ac:dyDescent="0.2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x14ac:dyDescent="0.25">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50</v>
      </c>
    </row>
    <row r="2" spans="1:1" ht="15" customHeight="1" x14ac:dyDescent="0.25"/>
    <row r="3" spans="1:1" ht="15" customHeight="1" x14ac:dyDescent="0.25">
      <c r="A3" s="32" t="s">
        <v>51</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x14ac:dyDescent="0.25">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x14ac:dyDescent="0.25">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x14ac:dyDescent="0.25">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145</v>
      </c>
      <c r="B1" s="1" t="s">
        <v>5</v>
      </c>
      <c r="C1" s="1" t="s">
        <v>148</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x14ac:dyDescent="0.25">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x14ac:dyDescent="0.25">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x14ac:dyDescent="0.25">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x14ac:dyDescent="0.25">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x14ac:dyDescent="0.25">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x14ac:dyDescent="0.25">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x14ac:dyDescent="0.25">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x14ac:dyDescent="0.25">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x14ac:dyDescent="0.25">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x14ac:dyDescent="0.25">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x14ac:dyDescent="0.25">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x14ac:dyDescent="0.25">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x14ac:dyDescent="0.25">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x14ac:dyDescent="0.25">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x14ac:dyDescent="0.25">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x14ac:dyDescent="0.25">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x14ac:dyDescent="0.25">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x14ac:dyDescent="0.25">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x14ac:dyDescent="0.25">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x14ac:dyDescent="0.25">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x14ac:dyDescent="0.25">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x14ac:dyDescent="0.25">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x14ac:dyDescent="0.25">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x14ac:dyDescent="0.25">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x14ac:dyDescent="0.25">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x14ac:dyDescent="0.25">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x14ac:dyDescent="0.25">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x14ac:dyDescent="0.25">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x14ac:dyDescent="0.25">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x14ac:dyDescent="0.25">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x14ac:dyDescent="0.25">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x14ac:dyDescent="0.25">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x14ac:dyDescent="0.25">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x14ac:dyDescent="0.25">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x14ac:dyDescent="0.25">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x14ac:dyDescent="0.25">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x14ac:dyDescent="0.25">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x14ac:dyDescent="0.25">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x14ac:dyDescent="0.25">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x14ac:dyDescent="0.25">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x14ac:dyDescent="0.25">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x14ac:dyDescent="0.25">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x14ac:dyDescent="0.25">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x14ac:dyDescent="0.25">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x14ac:dyDescent="0.25">
      <c r="A46" s="35" t="s">
        <v>85</v>
      </c>
      <c r="B46" s="49" t="str">
        <f>IFERROR(MEDIAN(Vertices[Degree]),NoMetricMessage)</f>
        <v>Not Available</v>
      </c>
    </row>
    <row r="57" spans="1:2" x14ac:dyDescent="0.25">
      <c r="A57" s="35" t="s">
        <v>89</v>
      </c>
      <c r="B57" s="48" t="str">
        <f>IF(COUNT(Vertices[In-Degree])&gt;0, F2, NoMetricMessage)</f>
        <v>Not Available</v>
      </c>
    </row>
    <row r="58" spans="1:2" x14ac:dyDescent="0.25">
      <c r="A58" s="35" t="s">
        <v>90</v>
      </c>
      <c r="B58" s="48" t="str">
        <f>IF(COUNT(Vertices[In-Degree])&gt;0, F45, NoMetricMessage)</f>
        <v>Not Available</v>
      </c>
    </row>
    <row r="59" spans="1:2" x14ac:dyDescent="0.25">
      <c r="A59" s="35" t="s">
        <v>91</v>
      </c>
      <c r="B59" s="49" t="str">
        <f>IFERROR(AVERAGE(Vertices[In-Degree]),NoMetricMessage)</f>
        <v>Not Available</v>
      </c>
    </row>
    <row r="60" spans="1:2" x14ac:dyDescent="0.25">
      <c r="A60" s="35" t="s">
        <v>92</v>
      </c>
      <c r="B60" s="49" t="str">
        <f>IFERROR(MEDIAN(Vertices[In-Degree]),NoMetricMessage)</f>
        <v>Not Available</v>
      </c>
    </row>
    <row r="71" spans="1:2" x14ac:dyDescent="0.25">
      <c r="A71" s="35" t="s">
        <v>95</v>
      </c>
      <c r="B71" s="48" t="str">
        <f>IF(COUNT(Vertices[Out-Degree])&gt;0, H2, NoMetricMessage)</f>
        <v>Not Available</v>
      </c>
    </row>
    <row r="72" spans="1:2" x14ac:dyDescent="0.25">
      <c r="A72" s="35" t="s">
        <v>96</v>
      </c>
      <c r="B72" s="48" t="str">
        <f>IF(COUNT(Vertices[Out-Degree])&gt;0, H45, NoMetricMessage)</f>
        <v>Not Available</v>
      </c>
    </row>
    <row r="73" spans="1:2" x14ac:dyDescent="0.25">
      <c r="A73" s="35" t="s">
        <v>97</v>
      </c>
      <c r="B73" s="49" t="str">
        <f>IFERROR(AVERAGE(Vertices[Out-Degree]),NoMetricMessage)</f>
        <v>Not Available</v>
      </c>
    </row>
    <row r="74" spans="1:2" x14ac:dyDescent="0.25">
      <c r="A74" s="35" t="s">
        <v>98</v>
      </c>
      <c r="B74" s="49" t="str">
        <f>IFERROR(MEDIAN(Vertices[Out-Degree]),NoMetricMessage)</f>
        <v>Not Available</v>
      </c>
    </row>
    <row r="85" spans="1:2" x14ac:dyDescent="0.25">
      <c r="A85" s="35" t="s">
        <v>101</v>
      </c>
      <c r="B85" s="49" t="str">
        <f>IF(COUNT(Vertices[Betweenness Centrality])&gt;0, J2, NoMetricMessage)</f>
        <v>Not Available</v>
      </c>
    </row>
    <row r="86" spans="1:2" x14ac:dyDescent="0.25">
      <c r="A86" s="35" t="s">
        <v>102</v>
      </c>
      <c r="B86" s="49" t="str">
        <f>IF(COUNT(Vertices[Betweenness Centrality])&gt;0, J45, NoMetricMessage)</f>
        <v>Not Available</v>
      </c>
    </row>
    <row r="87" spans="1:2" x14ac:dyDescent="0.25">
      <c r="A87" s="35" t="s">
        <v>103</v>
      </c>
      <c r="B87" s="49" t="str">
        <f>IFERROR(AVERAGE(Vertices[Betweenness Centrality]),NoMetricMessage)</f>
        <v>Not Available</v>
      </c>
    </row>
    <row r="88" spans="1:2" x14ac:dyDescent="0.25">
      <c r="A88" s="35" t="s">
        <v>104</v>
      </c>
      <c r="B88" s="49" t="str">
        <f>IFERROR(MEDIAN(Vertices[Betweenness Centrality]),NoMetricMessage)</f>
        <v>Not Available</v>
      </c>
    </row>
    <row r="99" spans="1:2" x14ac:dyDescent="0.25">
      <c r="A99" s="35" t="s">
        <v>107</v>
      </c>
      <c r="B99" s="49" t="str">
        <f>IF(COUNT(Vertices[Closeness Centrality])&gt;0, L2, NoMetricMessage)</f>
        <v>Not Available</v>
      </c>
    </row>
    <row r="100" spans="1:2" x14ac:dyDescent="0.25">
      <c r="A100" s="35" t="s">
        <v>108</v>
      </c>
      <c r="B100" s="49" t="str">
        <f>IF(COUNT(Vertices[Closeness Centrality])&gt;0, L45, NoMetricMessage)</f>
        <v>Not Available</v>
      </c>
    </row>
    <row r="101" spans="1:2" x14ac:dyDescent="0.25">
      <c r="A101" s="35" t="s">
        <v>109</v>
      </c>
      <c r="B101" s="49" t="str">
        <f>IFERROR(AVERAGE(Vertices[Closeness Centrality]),NoMetricMessage)</f>
        <v>Not Available</v>
      </c>
    </row>
    <row r="102" spans="1:2" x14ac:dyDescent="0.25">
      <c r="A102" s="35" t="s">
        <v>110</v>
      </c>
      <c r="B102" s="49" t="str">
        <f>IFERROR(MEDIAN(Vertices[Closeness Centrality]),NoMetricMessage)</f>
        <v>Not Available</v>
      </c>
    </row>
    <row r="113" spans="1:2" x14ac:dyDescent="0.25">
      <c r="A113" s="35" t="s">
        <v>113</v>
      </c>
      <c r="B113" s="49" t="str">
        <f>IF(COUNT(Vertices[Eigenvector Centrality])&gt;0, N2, NoMetricMessage)</f>
        <v>Not Available</v>
      </c>
    </row>
    <row r="114" spans="1:2" x14ac:dyDescent="0.25">
      <c r="A114" s="35" t="s">
        <v>114</v>
      </c>
      <c r="B114" s="49" t="str">
        <f>IF(COUNT(Vertices[Eigenvector Centrality])&gt;0, N45, NoMetricMessage)</f>
        <v>Not Available</v>
      </c>
    </row>
    <row r="115" spans="1:2" x14ac:dyDescent="0.25">
      <c r="A115" s="35" t="s">
        <v>115</v>
      </c>
      <c r="B115" s="49" t="str">
        <f>IFERROR(AVERAGE(Vertices[Eigenvector Centrality]),NoMetricMessage)</f>
        <v>Not Available</v>
      </c>
    </row>
    <row r="116" spans="1:2" x14ac:dyDescent="0.25">
      <c r="A116" s="35" t="s">
        <v>116</v>
      </c>
      <c r="B116" s="49" t="str">
        <f>IFERROR(MEDIAN(Vertices[Eigenvector Centrality]),NoMetricMessage)</f>
        <v>Not Available</v>
      </c>
    </row>
    <row r="127" spans="1:2" x14ac:dyDescent="0.25">
      <c r="A127" s="35" t="s">
        <v>141</v>
      </c>
      <c r="B127" s="49" t="str">
        <f>IF(COUNT(Vertices[PageRank])&gt;0, P2, NoMetricMessage)</f>
        <v>Not Available</v>
      </c>
    </row>
    <row r="128" spans="1:2" x14ac:dyDescent="0.25">
      <c r="A128" s="35" t="s">
        <v>142</v>
      </c>
      <c r="B128" s="49" t="str">
        <f>IF(COUNT(Vertices[PageRank])&gt;0, P45, NoMetricMessage)</f>
        <v>Not Available</v>
      </c>
    </row>
    <row r="129" spans="1:2" x14ac:dyDescent="0.25">
      <c r="A129" s="35" t="s">
        <v>143</v>
      </c>
      <c r="B129" s="49" t="str">
        <f>IFERROR(AVERAGE(Vertices[PageRank]),NoMetricMessage)</f>
        <v>Not Available</v>
      </c>
    </row>
    <row r="130" spans="1:2" x14ac:dyDescent="0.25">
      <c r="A130" s="35" t="s">
        <v>144</v>
      </c>
      <c r="B130" s="49" t="str">
        <f>IFERROR(MEDIAN(Vertices[PageRank]),NoMetricMessage)</f>
        <v>Not Available</v>
      </c>
    </row>
    <row r="141" spans="1:2" x14ac:dyDescent="0.25">
      <c r="A141" s="35" t="s">
        <v>119</v>
      </c>
      <c r="B141" s="49" t="str">
        <f>IF(COUNT(Vertices[Clustering Coefficient])&gt;0, R2, NoMetricMessage)</f>
        <v>Not Available</v>
      </c>
    </row>
    <row r="142" spans="1:2" x14ac:dyDescent="0.25">
      <c r="A142" s="35" t="s">
        <v>120</v>
      </c>
      <c r="B142" s="49" t="str">
        <f>IF(COUNT(Vertices[Clustering Coefficient])&gt;0, R45, NoMetricMessage)</f>
        <v>Not Available</v>
      </c>
    </row>
    <row r="143" spans="1:2" x14ac:dyDescent="0.25">
      <c r="A143" s="35" t="s">
        <v>121</v>
      </c>
      <c r="B143" s="49" t="str">
        <f>IFERROR(AVERAGE(Vertices[Clustering Coefficient]),NoMetricMessage)</f>
        <v>Not Available</v>
      </c>
    </row>
    <row r="144" spans="1:2" x14ac:dyDescent="0.25">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x14ac:dyDescent="0.25">
      <c r="A2" s="1" t="s">
        <v>52</v>
      </c>
      <c r="B2" s="1" t="s">
        <v>133</v>
      </c>
      <c r="C2" t="s">
        <v>55</v>
      </c>
      <c r="D2" t="s">
        <v>56</v>
      </c>
      <c r="E2" t="s">
        <v>56</v>
      </c>
      <c r="F2" s="1" t="s">
        <v>52</v>
      </c>
      <c r="G2" t="s">
        <v>66</v>
      </c>
      <c r="H2" t="s">
        <v>160</v>
      </c>
      <c r="J2" t="s">
        <v>19</v>
      </c>
      <c r="K2">
        <v>108</v>
      </c>
    </row>
    <row r="3" spans="1:18" x14ac:dyDescent="0.25">
      <c r="A3" s="1" t="s">
        <v>53</v>
      </c>
      <c r="B3" s="1" t="s">
        <v>134</v>
      </c>
      <c r="C3" t="s">
        <v>53</v>
      </c>
      <c r="D3" t="s">
        <v>57</v>
      </c>
      <c r="E3" t="s">
        <v>57</v>
      </c>
      <c r="F3" s="1" t="s">
        <v>53</v>
      </c>
      <c r="G3" t="s">
        <v>67</v>
      </c>
      <c r="H3" t="s">
        <v>69</v>
      </c>
      <c r="J3" t="s">
        <v>30</v>
      </c>
      <c r="K3" t="s">
        <v>31</v>
      </c>
    </row>
    <row r="4" spans="1:18" x14ac:dyDescent="0.25">
      <c r="A4" s="1" t="s">
        <v>54</v>
      </c>
      <c r="B4" s="1" t="s">
        <v>135</v>
      </c>
      <c r="C4" t="s">
        <v>54</v>
      </c>
      <c r="D4" t="s">
        <v>58</v>
      </c>
      <c r="E4" t="s">
        <v>58</v>
      </c>
      <c r="F4" s="1" t="s">
        <v>54</v>
      </c>
      <c r="G4">
        <v>0</v>
      </c>
      <c r="H4" t="s">
        <v>70</v>
      </c>
      <c r="J4" s="12" t="s">
        <v>79</v>
      </c>
      <c r="K4" s="12"/>
    </row>
    <row r="5" spans="1:18" x14ac:dyDescent="0.25">
      <c r="A5">
        <v>1</v>
      </c>
      <c r="B5" s="1" t="s">
        <v>136</v>
      </c>
      <c r="C5" t="s">
        <v>52</v>
      </c>
      <c r="D5" t="s">
        <v>59</v>
      </c>
      <c r="E5" t="s">
        <v>59</v>
      </c>
      <c r="F5">
        <v>1</v>
      </c>
      <c r="G5">
        <v>1</v>
      </c>
      <c r="H5" t="s">
        <v>71</v>
      </c>
    </row>
    <row r="6" spans="1:18" x14ac:dyDescent="0.25">
      <c r="A6">
        <v>0</v>
      </c>
      <c r="B6" s="1" t="s">
        <v>137</v>
      </c>
      <c r="C6">
        <v>1</v>
      </c>
      <c r="D6" t="s">
        <v>60</v>
      </c>
      <c r="E6" t="s">
        <v>60</v>
      </c>
      <c r="F6">
        <v>0</v>
      </c>
      <c r="H6" t="s">
        <v>72</v>
      </c>
      <c r="R6" t="s">
        <v>130</v>
      </c>
    </row>
    <row r="7" spans="1:18" x14ac:dyDescent="0.25">
      <c r="A7">
        <v>2</v>
      </c>
      <c r="B7">
        <v>1</v>
      </c>
      <c r="C7">
        <v>0</v>
      </c>
      <c r="D7" t="s">
        <v>61</v>
      </c>
      <c r="E7" t="s">
        <v>61</v>
      </c>
      <c r="F7">
        <v>2</v>
      </c>
      <c r="H7" t="s">
        <v>73</v>
      </c>
    </row>
    <row r="8" spans="1:18" x14ac:dyDescent="0.25">
      <c r="A8"/>
      <c r="B8">
        <v>2</v>
      </c>
      <c r="C8">
        <v>2</v>
      </c>
      <c r="D8" t="s">
        <v>62</v>
      </c>
      <c r="E8" t="s">
        <v>62</v>
      </c>
      <c r="H8" t="s">
        <v>74</v>
      </c>
    </row>
    <row r="9" spans="1:18" x14ac:dyDescent="0.25">
      <c r="A9"/>
      <c r="B9">
        <v>3</v>
      </c>
      <c r="C9">
        <v>4</v>
      </c>
      <c r="D9" t="s">
        <v>63</v>
      </c>
      <c r="E9" t="s">
        <v>63</v>
      </c>
      <c r="H9" t="s">
        <v>75</v>
      </c>
    </row>
    <row r="10" spans="1:18" x14ac:dyDescent="0.25">
      <c r="A10"/>
      <c r="B10">
        <v>4</v>
      </c>
      <c r="D10" t="s">
        <v>64</v>
      </c>
      <c r="E10" t="s">
        <v>64</v>
      </c>
      <c r="H10" t="s">
        <v>76</v>
      </c>
    </row>
    <row r="11" spans="1:18" x14ac:dyDescent="0.25">
      <c r="A11"/>
      <c r="B11">
        <v>5</v>
      </c>
      <c r="D11" t="s">
        <v>47</v>
      </c>
      <c r="E11">
        <v>1</v>
      </c>
      <c r="H11" t="s">
        <v>77</v>
      </c>
    </row>
    <row r="12" spans="1:18" x14ac:dyDescent="0.25">
      <c r="A12"/>
      <c r="B12"/>
      <c r="D12" t="s">
        <v>65</v>
      </c>
      <c r="E12">
        <v>2</v>
      </c>
      <c r="H12">
        <v>0</v>
      </c>
    </row>
    <row r="13" spans="1:18" x14ac:dyDescent="0.25">
      <c r="A13"/>
      <c r="B13"/>
      <c r="D13">
        <v>1</v>
      </c>
      <c r="E13">
        <v>3</v>
      </c>
      <c r="H13">
        <v>1</v>
      </c>
    </row>
    <row r="14" spans="1:18" x14ac:dyDescent="0.25">
      <c r="D14">
        <v>2</v>
      </c>
      <c r="E14">
        <v>4</v>
      </c>
      <c r="H14">
        <v>2</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Arber Ceni</cp:lastModifiedBy>
  <dcterms:created xsi:type="dcterms:W3CDTF">2008-01-30T00:41:58Z</dcterms:created>
  <dcterms:modified xsi:type="dcterms:W3CDTF">2015-06-11T17:24:20Z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ies>
</file>