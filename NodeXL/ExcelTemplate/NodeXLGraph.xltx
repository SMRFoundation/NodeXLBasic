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tables/table10.xml" ContentType="application/vnd.openxmlformats-officedocument.spreadsheetml.table+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90" yWindow="1680" windowWidth="22170" windowHeight="787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25725"/>
</workbook>
</file>

<file path=xl/calcChain.xml><?xml version="1.0" encoding="utf-8"?>
<calcChain xmlns="http://schemas.openxmlformats.org/spreadsheetml/2006/main">
  <c r="B128" i="7"/>
  <c r="B127"/>
  <c r="B130"/>
  <c r="B129"/>
  <c r="P45"/>
  <c r="Q45" s="1"/>
  <c r="P2"/>
  <c r="B142"/>
  <c r="B141"/>
  <c r="B144"/>
  <c r="B143"/>
  <c r="R45"/>
  <c r="S45" s="1"/>
  <c r="R2"/>
  <c r="B114"/>
  <c r="B113"/>
  <c r="B116"/>
  <c r="B115"/>
  <c r="N45"/>
  <c r="O45" s="1"/>
  <c r="N2"/>
  <c r="B100"/>
  <c r="B99"/>
  <c r="B86"/>
  <c r="B85"/>
  <c r="B102"/>
  <c r="B101"/>
  <c r="L45"/>
  <c r="M45" s="1"/>
  <c r="L2"/>
  <c r="B72"/>
  <c r="B71"/>
  <c r="B58"/>
  <c r="B57"/>
  <c r="B88"/>
  <c r="B87"/>
  <c r="J45"/>
  <c r="K45" s="1"/>
  <c r="J2"/>
  <c r="B74"/>
  <c r="B73"/>
  <c r="H45"/>
  <c r="I45" s="1"/>
  <c r="H2"/>
  <c r="B60"/>
  <c r="B59"/>
  <c r="F45"/>
  <c r="G45" s="1"/>
  <c r="F2"/>
  <c r="B44"/>
  <c r="B43"/>
  <c r="B46"/>
  <c r="B45"/>
  <c r="T45"/>
  <c r="T2"/>
  <c r="X2" l="1"/>
  <c r="P3" s="1"/>
  <c r="P4" s="1"/>
  <c r="P5" s="1"/>
  <c r="P6" s="1"/>
  <c r="P7" s="1"/>
  <c r="P8" s="1"/>
  <c r="P9" s="1"/>
  <c r="P10" s="1"/>
  <c r="P11" s="1"/>
  <c r="P12" s="1"/>
  <c r="P13" s="1"/>
  <c r="P14" s="1"/>
  <c r="P15" s="1"/>
  <c r="P16" s="1"/>
  <c r="P17" s="1"/>
  <c r="P18" s="1"/>
  <c r="P19" s="1"/>
  <c r="P20" s="1"/>
  <c r="P21" s="1"/>
  <c r="P22" s="1"/>
  <c r="P23" s="1"/>
  <c r="P24" s="1"/>
  <c r="P25" s="1"/>
  <c r="P26" s="1"/>
  <c r="P27" s="1"/>
  <c r="P28" s="1"/>
  <c r="P29" s="1"/>
  <c r="P30" s="1"/>
  <c r="P31" s="1"/>
  <c r="P32" s="1"/>
  <c r="P33" s="1"/>
  <c r="P34" s="1"/>
  <c r="P35" s="1"/>
  <c r="P36" s="1"/>
  <c r="P37" s="1"/>
  <c r="P38" s="1"/>
  <c r="P39" s="1"/>
  <c r="P40" s="1"/>
  <c r="P41" s="1"/>
  <c r="P42" s="1"/>
  <c r="P43" s="1"/>
  <c r="P44" s="1"/>
  <c r="D45"/>
  <c r="E45" s="1"/>
  <c r="D2"/>
  <c r="U45"/>
  <c r="Q3" l="1"/>
  <c r="Q2"/>
  <c r="R3"/>
  <c r="R4" s="1"/>
  <c r="S3" s="1"/>
  <c r="T3"/>
  <c r="L3"/>
  <c r="M2" s="1"/>
  <c r="N3"/>
  <c r="H3"/>
  <c r="J3"/>
  <c r="D3"/>
  <c r="D4" s="1"/>
  <c r="E3" s="1"/>
  <c r="F3"/>
  <c r="U2"/>
  <c r="Q5" l="1"/>
  <c r="Q4"/>
  <c r="S2"/>
  <c r="T4"/>
  <c r="R5"/>
  <c r="S4" s="1"/>
  <c r="N4"/>
  <c r="O2"/>
  <c r="L4"/>
  <c r="L5" s="1"/>
  <c r="L6" s="1"/>
  <c r="L7" s="1"/>
  <c r="L8" s="1"/>
  <c r="L9" s="1"/>
  <c r="L10" s="1"/>
  <c r="L11" s="1"/>
  <c r="L12" s="1"/>
  <c r="L13" s="1"/>
  <c r="L14" s="1"/>
  <c r="L15" s="1"/>
  <c r="L16" s="1"/>
  <c r="L17" s="1"/>
  <c r="L18" s="1"/>
  <c r="L19" s="1"/>
  <c r="L20" s="1"/>
  <c r="L21" s="1"/>
  <c r="L22" s="1"/>
  <c r="L23" s="1"/>
  <c r="L24" s="1"/>
  <c r="L25" s="1"/>
  <c r="L26" s="1"/>
  <c r="L27" s="1"/>
  <c r="L28" s="1"/>
  <c r="L29" s="1"/>
  <c r="L30" s="1"/>
  <c r="L31" s="1"/>
  <c r="L32" s="1"/>
  <c r="L33" s="1"/>
  <c r="L34" s="1"/>
  <c r="L35" s="1"/>
  <c r="L36" s="1"/>
  <c r="L37" s="1"/>
  <c r="L38" s="1"/>
  <c r="L39" s="1"/>
  <c r="L40" s="1"/>
  <c r="L41" s="1"/>
  <c r="L42" s="1"/>
  <c r="L43" s="1"/>
  <c r="L44" s="1"/>
  <c r="I2"/>
  <c r="J4"/>
  <c r="K2"/>
  <c r="H4"/>
  <c r="H5" s="1"/>
  <c r="E2"/>
  <c r="F4"/>
  <c r="G2"/>
  <c r="D5"/>
  <c r="E4" s="1"/>
  <c r="U3"/>
  <c r="Q6" l="1"/>
  <c r="T5"/>
  <c r="M3"/>
  <c r="R6"/>
  <c r="S5" s="1"/>
  <c r="I3"/>
  <c r="N5"/>
  <c r="O3"/>
  <c r="M4"/>
  <c r="M5"/>
  <c r="M6"/>
  <c r="J5"/>
  <c r="K3"/>
  <c r="H6"/>
  <c r="I5" s="1"/>
  <c r="I4"/>
  <c r="F5"/>
  <c r="G3"/>
  <c r="D6"/>
  <c r="E5" s="1"/>
  <c r="U4"/>
  <c r="Q7" l="1"/>
  <c r="T6"/>
  <c r="R7"/>
  <c r="S6" s="1"/>
  <c r="N6"/>
  <c r="O4"/>
  <c r="M7"/>
  <c r="J6"/>
  <c r="K4"/>
  <c r="H7"/>
  <c r="I6" s="1"/>
  <c r="F6"/>
  <c r="G4"/>
  <c r="D7"/>
  <c r="E6" s="1"/>
  <c r="U5"/>
  <c r="T7" l="1"/>
  <c r="R8"/>
  <c r="N7"/>
  <c r="O5"/>
  <c r="M8"/>
  <c r="J7"/>
  <c r="K6" s="1"/>
  <c r="K5"/>
  <c r="H8"/>
  <c r="F7"/>
  <c r="G6" s="1"/>
  <c r="G5"/>
  <c r="D8"/>
  <c r="E7" s="1"/>
  <c r="U6"/>
  <c r="Q9" l="1"/>
  <c r="Q8"/>
  <c r="T8"/>
  <c r="R9"/>
  <c r="S7"/>
  <c r="N8"/>
  <c r="O6"/>
  <c r="M9"/>
  <c r="J8"/>
  <c r="K7" s="1"/>
  <c r="H9"/>
  <c r="I8" s="1"/>
  <c r="I7"/>
  <c r="F8"/>
  <c r="D9"/>
  <c r="E8" s="1"/>
  <c r="U7"/>
  <c r="Q10" l="1"/>
  <c r="T9"/>
  <c r="R10"/>
  <c r="S9" s="1"/>
  <c r="S8"/>
  <c r="N9"/>
  <c r="O8" s="1"/>
  <c r="O7"/>
  <c r="M10"/>
  <c r="J9"/>
  <c r="K8" s="1"/>
  <c r="H10"/>
  <c r="I9" s="1"/>
  <c r="F9"/>
  <c r="G8" s="1"/>
  <c r="G7"/>
  <c r="D10"/>
  <c r="E9" s="1"/>
  <c r="U8"/>
  <c r="Q11" l="1"/>
  <c r="T10"/>
  <c r="R11"/>
  <c r="S10" s="1"/>
  <c r="N10"/>
  <c r="O9" s="1"/>
  <c r="M11"/>
  <c r="J10"/>
  <c r="K9" s="1"/>
  <c r="H11"/>
  <c r="I10" s="1"/>
  <c r="F10"/>
  <c r="G9" s="1"/>
  <c r="D11"/>
  <c r="E10" s="1"/>
  <c r="U9"/>
  <c r="Q12" l="1"/>
  <c r="T11"/>
  <c r="R12"/>
  <c r="S11" s="1"/>
  <c r="N11"/>
  <c r="O10" s="1"/>
  <c r="M12"/>
  <c r="J11"/>
  <c r="K10" s="1"/>
  <c r="H12"/>
  <c r="I11" s="1"/>
  <c r="F11"/>
  <c r="G10" s="1"/>
  <c r="D12"/>
  <c r="E11" s="1"/>
  <c r="U10"/>
  <c r="Q13" l="1"/>
  <c r="T12"/>
  <c r="R13"/>
  <c r="S12" s="1"/>
  <c r="N12"/>
  <c r="O11" s="1"/>
  <c r="M13"/>
  <c r="J12"/>
  <c r="K11" s="1"/>
  <c r="H13"/>
  <c r="I12" s="1"/>
  <c r="F12"/>
  <c r="G11" s="1"/>
  <c r="D13"/>
  <c r="E12" s="1"/>
  <c r="U11"/>
  <c r="Q14" l="1"/>
  <c r="T13"/>
  <c r="R14"/>
  <c r="S13" s="1"/>
  <c r="N13"/>
  <c r="O12" s="1"/>
  <c r="M14"/>
  <c r="J13"/>
  <c r="K12" s="1"/>
  <c r="H14"/>
  <c r="I13" s="1"/>
  <c r="F13"/>
  <c r="G12" s="1"/>
  <c r="D14"/>
  <c r="E13" s="1"/>
  <c r="U12"/>
  <c r="Q15" l="1"/>
  <c r="T14"/>
  <c r="R15"/>
  <c r="N14"/>
  <c r="O13" s="1"/>
  <c r="M15"/>
  <c r="J14"/>
  <c r="K13" s="1"/>
  <c r="H15"/>
  <c r="I14" s="1"/>
  <c r="F14"/>
  <c r="G13" s="1"/>
  <c r="D15"/>
  <c r="E14" s="1"/>
  <c r="U13"/>
  <c r="Q16" l="1"/>
  <c r="T15"/>
  <c r="R16"/>
  <c r="S15" s="1"/>
  <c r="S14"/>
  <c r="N15"/>
  <c r="O14" s="1"/>
  <c r="M16"/>
  <c r="J15"/>
  <c r="K14" s="1"/>
  <c r="H16"/>
  <c r="I15" s="1"/>
  <c r="F15"/>
  <c r="G14" s="1"/>
  <c r="D16"/>
  <c r="E15" s="1"/>
  <c r="U14"/>
  <c r="Q17" l="1"/>
  <c r="T16"/>
  <c r="R17"/>
  <c r="N16"/>
  <c r="O15" s="1"/>
  <c r="M17"/>
  <c r="J16"/>
  <c r="K15" s="1"/>
  <c r="H17"/>
  <c r="I16" s="1"/>
  <c r="F16"/>
  <c r="G15" s="1"/>
  <c r="D17"/>
  <c r="E16" s="1"/>
  <c r="U15"/>
  <c r="Q18" l="1"/>
  <c r="T17"/>
  <c r="R18"/>
  <c r="S16"/>
  <c r="N17"/>
  <c r="O16" s="1"/>
  <c r="M18"/>
  <c r="J17"/>
  <c r="K16" s="1"/>
  <c r="H18"/>
  <c r="I17" s="1"/>
  <c r="F17"/>
  <c r="G16" s="1"/>
  <c r="D18"/>
  <c r="E17" s="1"/>
  <c r="U16"/>
  <c r="Q19" l="1"/>
  <c r="T18"/>
  <c r="R19"/>
  <c r="S18" s="1"/>
  <c r="S17"/>
  <c r="N18"/>
  <c r="O17" s="1"/>
  <c r="M19"/>
  <c r="J18"/>
  <c r="K17" s="1"/>
  <c r="H19"/>
  <c r="I18" s="1"/>
  <c r="F18"/>
  <c r="G17" s="1"/>
  <c r="D19"/>
  <c r="E18" s="1"/>
  <c r="U17"/>
  <c r="Q20" l="1"/>
  <c r="T19"/>
  <c r="R20"/>
  <c r="S19" s="1"/>
  <c r="N19"/>
  <c r="O18" s="1"/>
  <c r="M20"/>
  <c r="J19"/>
  <c r="K18" s="1"/>
  <c r="H20"/>
  <c r="I19" s="1"/>
  <c r="F19"/>
  <c r="G18" s="1"/>
  <c r="D20"/>
  <c r="E19" s="1"/>
  <c r="U18"/>
  <c r="Q21" l="1"/>
  <c r="T20"/>
  <c r="R21"/>
  <c r="S20" s="1"/>
  <c r="N20"/>
  <c r="O19" s="1"/>
  <c r="M21"/>
  <c r="J20"/>
  <c r="K19" s="1"/>
  <c r="H21"/>
  <c r="I20" s="1"/>
  <c r="F20"/>
  <c r="G19" s="1"/>
  <c r="D21"/>
  <c r="E20" s="1"/>
  <c r="U19"/>
  <c r="T21" l="1"/>
  <c r="R22"/>
  <c r="S21" s="1"/>
  <c r="N21"/>
  <c r="O20" s="1"/>
  <c r="M22"/>
  <c r="J21"/>
  <c r="K20" s="1"/>
  <c r="H22"/>
  <c r="I21" s="1"/>
  <c r="F21"/>
  <c r="G20" s="1"/>
  <c r="D22"/>
  <c r="E21" s="1"/>
  <c r="U20"/>
  <c r="Q22" l="1"/>
  <c r="T22"/>
  <c r="R23"/>
  <c r="S22" s="1"/>
  <c r="N22"/>
  <c r="O21" s="1"/>
  <c r="M23"/>
  <c r="J22"/>
  <c r="K21" s="1"/>
  <c r="H23"/>
  <c r="I22" s="1"/>
  <c r="F22"/>
  <c r="G21" s="1"/>
  <c r="D23"/>
  <c r="E22" s="1"/>
  <c r="U21"/>
  <c r="Q23" l="1"/>
  <c r="T23"/>
  <c r="R24"/>
  <c r="S23" s="1"/>
  <c r="N23"/>
  <c r="O22" s="1"/>
  <c r="M24"/>
  <c r="J23"/>
  <c r="K22" s="1"/>
  <c r="H24"/>
  <c r="I23" s="1"/>
  <c r="F23"/>
  <c r="G22" s="1"/>
  <c r="D24"/>
  <c r="E23" s="1"/>
  <c r="U22"/>
  <c r="Q24" l="1"/>
  <c r="T24"/>
  <c r="R25"/>
  <c r="S24" s="1"/>
  <c r="N24"/>
  <c r="O23" s="1"/>
  <c r="M25"/>
  <c r="J24"/>
  <c r="K23" s="1"/>
  <c r="H25"/>
  <c r="I24" s="1"/>
  <c r="F24"/>
  <c r="G23" s="1"/>
  <c r="D25"/>
  <c r="E24" s="1"/>
  <c r="U23"/>
  <c r="Q25" l="1"/>
  <c r="T25"/>
  <c r="R26"/>
  <c r="S25" s="1"/>
  <c r="N25"/>
  <c r="O24" s="1"/>
  <c r="M26"/>
  <c r="J25"/>
  <c r="K24" s="1"/>
  <c r="H26"/>
  <c r="I25" s="1"/>
  <c r="F25"/>
  <c r="G24" s="1"/>
  <c r="D26"/>
  <c r="E25" s="1"/>
  <c r="U24"/>
  <c r="Q26" l="1"/>
  <c r="T26"/>
  <c r="R27"/>
  <c r="S26" s="1"/>
  <c r="N26"/>
  <c r="O25" s="1"/>
  <c r="M27"/>
  <c r="J26"/>
  <c r="K25" s="1"/>
  <c r="H27"/>
  <c r="I26" s="1"/>
  <c r="F26"/>
  <c r="G25" s="1"/>
  <c r="D27"/>
  <c r="E26" s="1"/>
  <c r="U25"/>
  <c r="Q27" l="1"/>
  <c r="T27"/>
  <c r="R28"/>
  <c r="S27" s="1"/>
  <c r="N27"/>
  <c r="O26" s="1"/>
  <c r="M28"/>
  <c r="J27"/>
  <c r="K26" s="1"/>
  <c r="H28"/>
  <c r="I27" s="1"/>
  <c r="F27"/>
  <c r="G26" s="1"/>
  <c r="D28"/>
  <c r="E27" s="1"/>
  <c r="U26"/>
  <c r="Q28" l="1"/>
  <c r="T28"/>
  <c r="R29"/>
  <c r="S28" s="1"/>
  <c r="N28"/>
  <c r="O27" s="1"/>
  <c r="M29"/>
  <c r="J28"/>
  <c r="K27" s="1"/>
  <c r="H29"/>
  <c r="I28" s="1"/>
  <c r="F28"/>
  <c r="G27" s="1"/>
  <c r="D29"/>
  <c r="E28" s="1"/>
  <c r="U27"/>
  <c r="Q29" l="1"/>
  <c r="T29"/>
  <c r="R30"/>
  <c r="N29"/>
  <c r="O28" s="1"/>
  <c r="M30"/>
  <c r="J29"/>
  <c r="K28" s="1"/>
  <c r="H30"/>
  <c r="I29" s="1"/>
  <c r="F29"/>
  <c r="G28" s="1"/>
  <c r="D30"/>
  <c r="E29" s="1"/>
  <c r="U28"/>
  <c r="Q30" l="1"/>
  <c r="T30"/>
  <c r="R31"/>
  <c r="S30" s="1"/>
  <c r="S29"/>
  <c r="N30"/>
  <c r="O29" s="1"/>
  <c r="M31"/>
  <c r="J30"/>
  <c r="K29" s="1"/>
  <c r="H31"/>
  <c r="I30" s="1"/>
  <c r="F30"/>
  <c r="G29" s="1"/>
  <c r="D31"/>
  <c r="E30" s="1"/>
  <c r="U29"/>
  <c r="Q31" l="1"/>
  <c r="T31"/>
  <c r="R32"/>
  <c r="S31" s="1"/>
  <c r="N31"/>
  <c r="O30" s="1"/>
  <c r="M32"/>
  <c r="J31"/>
  <c r="K30" s="1"/>
  <c r="H32"/>
  <c r="I31" s="1"/>
  <c r="F31"/>
  <c r="G30" s="1"/>
  <c r="D32"/>
  <c r="E31" s="1"/>
  <c r="U30"/>
  <c r="Q32" l="1"/>
  <c r="T32"/>
  <c r="R33"/>
  <c r="N32"/>
  <c r="O31" s="1"/>
  <c r="M33"/>
  <c r="J32"/>
  <c r="K31" s="1"/>
  <c r="H33"/>
  <c r="I32" s="1"/>
  <c r="F32"/>
  <c r="G31" s="1"/>
  <c r="D33"/>
  <c r="E32" s="1"/>
  <c r="U31"/>
  <c r="Q33" l="1"/>
  <c r="T33"/>
  <c r="R34"/>
  <c r="S33" s="1"/>
  <c r="S32"/>
  <c r="N33"/>
  <c r="O32" s="1"/>
  <c r="M34"/>
  <c r="J33"/>
  <c r="K32" s="1"/>
  <c r="H34"/>
  <c r="I33" s="1"/>
  <c r="F33"/>
  <c r="G32" s="1"/>
  <c r="D34"/>
  <c r="E33" s="1"/>
  <c r="U32"/>
  <c r="Q34" l="1"/>
  <c r="T34"/>
  <c r="R35"/>
  <c r="S34" s="1"/>
  <c r="N34"/>
  <c r="O33" s="1"/>
  <c r="M35"/>
  <c r="J34"/>
  <c r="K33" s="1"/>
  <c r="H35"/>
  <c r="I34" s="1"/>
  <c r="F34"/>
  <c r="G33" s="1"/>
  <c r="D35"/>
  <c r="E34" s="1"/>
  <c r="U33"/>
  <c r="Q35" l="1"/>
  <c r="T35"/>
  <c r="R36"/>
  <c r="S35" s="1"/>
  <c r="N35"/>
  <c r="O34" s="1"/>
  <c r="M36"/>
  <c r="J35"/>
  <c r="K34" s="1"/>
  <c r="H36"/>
  <c r="I35" s="1"/>
  <c r="F35"/>
  <c r="G34" s="1"/>
  <c r="D36"/>
  <c r="E35" s="1"/>
  <c r="U34"/>
  <c r="Q36" l="1"/>
  <c r="T36"/>
  <c r="R37"/>
  <c r="S36" s="1"/>
  <c r="N36"/>
  <c r="O35" s="1"/>
  <c r="M37"/>
  <c r="J36"/>
  <c r="K35" s="1"/>
  <c r="H37"/>
  <c r="I36" s="1"/>
  <c r="F36"/>
  <c r="G35" s="1"/>
  <c r="D37"/>
  <c r="E36" s="1"/>
  <c r="U35"/>
  <c r="Q37" l="1"/>
  <c r="T37"/>
  <c r="R38"/>
  <c r="S37" s="1"/>
  <c r="N37"/>
  <c r="O36" s="1"/>
  <c r="M38"/>
  <c r="J37"/>
  <c r="K36" s="1"/>
  <c r="H38"/>
  <c r="I37" s="1"/>
  <c r="F37"/>
  <c r="G36" s="1"/>
  <c r="D38"/>
  <c r="E37" s="1"/>
  <c r="U36"/>
  <c r="Q38" l="1"/>
  <c r="T38"/>
  <c r="R39"/>
  <c r="S38" s="1"/>
  <c r="N38"/>
  <c r="O37" s="1"/>
  <c r="M39"/>
  <c r="J38"/>
  <c r="K37" s="1"/>
  <c r="H39"/>
  <c r="I38" s="1"/>
  <c r="F38"/>
  <c r="G37" s="1"/>
  <c r="D39"/>
  <c r="E38" s="1"/>
  <c r="U37"/>
  <c r="Q39" l="1"/>
  <c r="T39"/>
  <c r="R40"/>
  <c r="S39" s="1"/>
  <c r="N39"/>
  <c r="O38" s="1"/>
  <c r="M40"/>
  <c r="J39"/>
  <c r="K38" s="1"/>
  <c r="H40"/>
  <c r="I39" s="1"/>
  <c r="F39"/>
  <c r="G38" s="1"/>
  <c r="D40"/>
  <c r="E39" s="1"/>
  <c r="U38"/>
  <c r="Q40" l="1"/>
  <c r="T40"/>
  <c r="R41"/>
  <c r="S40" s="1"/>
  <c r="N40"/>
  <c r="O39" s="1"/>
  <c r="M41"/>
  <c r="J40"/>
  <c r="K39" s="1"/>
  <c r="H41"/>
  <c r="I40" s="1"/>
  <c r="F40"/>
  <c r="G39" s="1"/>
  <c r="D41"/>
  <c r="E40" s="1"/>
  <c r="U39"/>
  <c r="Q41" l="1"/>
  <c r="T41"/>
  <c r="R42"/>
  <c r="S41" s="1"/>
  <c r="N41"/>
  <c r="O40" s="1"/>
  <c r="M42"/>
  <c r="J41"/>
  <c r="K40" s="1"/>
  <c r="H42"/>
  <c r="I41" s="1"/>
  <c r="F41"/>
  <c r="G40" s="1"/>
  <c r="D42"/>
  <c r="E41" s="1"/>
  <c r="U40"/>
  <c r="Q44" l="1"/>
  <c r="Q42"/>
  <c r="T42"/>
  <c r="R43"/>
  <c r="S42" s="1"/>
  <c r="N42"/>
  <c r="O41" s="1"/>
  <c r="M43"/>
  <c r="M44"/>
  <c r="J42"/>
  <c r="K41" s="1"/>
  <c r="H43"/>
  <c r="I42" s="1"/>
  <c r="F42"/>
  <c r="G41" s="1"/>
  <c r="D43"/>
  <c r="E42" s="1"/>
  <c r="U41"/>
  <c r="Q43" l="1"/>
  <c r="T43"/>
  <c r="R44"/>
  <c r="S44" s="1"/>
  <c r="N43"/>
  <c r="O42" s="1"/>
  <c r="J43"/>
  <c r="K42" s="1"/>
  <c r="H44"/>
  <c r="I44" s="1"/>
  <c r="F43"/>
  <c r="G42" s="1"/>
  <c r="D44"/>
  <c r="E44" s="1"/>
  <c r="U42"/>
  <c r="S43" l="1"/>
  <c r="T44"/>
  <c r="N44"/>
  <c r="O44" s="1"/>
  <c r="J44"/>
  <c r="K44" s="1"/>
  <c r="I43"/>
  <c r="F44"/>
  <c r="G44" s="1"/>
  <c r="E43"/>
  <c r="U44"/>
  <c r="O43" l="1"/>
  <c r="K43"/>
  <c r="G43"/>
  <c r="U43"/>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text>
        <r>
          <rPr>
            <b/>
            <sz val="8"/>
            <color indexed="81"/>
            <rFont val="Tahoma"/>
            <family val="2"/>
          </rPr>
          <t xml:space="preserve">Vertex Size
</t>
        </r>
        <r>
          <rPr>
            <sz val="8"/>
            <color indexed="81"/>
            <rFont val="Tahoma"/>
            <family val="2"/>
          </rPr>
          <t xml:space="preserve">
Enter an optional vertex size between 1 and 1,000.</t>
        </r>
      </text>
    </comment>
    <comment ref="E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<sst xmlns="http://schemas.openxmlformats.org/spreadsheetml/2006/main" count="215" uniqueCount="173">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</sst>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13">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7">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0" justifyLastLine="0" shrinkToFit="0" mergeCell="0" readingOrder="0"/>
    </dxf>
    <dxf>
      <numFmt numFmtId="0" formatCode="General"/>
      <alignment horizontal="general" vertical="bottom" textRotation="0" wrapText="1" indent="0" relativeIndent="0" justifyLastLine="0" shrinkToFit="0" mergeCell="0" readingOrder="0"/>
    </dxf>
    <dxf>
      <numFmt numFmtId="0" formatCode="General"/>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1" formatCode="0"/>
      <alignment horizontal="general" vertical="bottom" textRotation="0" wrapText="1" indent="0" relativeIndent="255"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255" justifyLastLine="0" shrinkToFit="0" mergeCell="0" readingOrder="0"/>
    </dxf>
    <dxf>
      <numFmt numFmtId="164" formatCode="0.0"/>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96"/>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Metrics'!$E$2</c:f>
              <c:strCache>
                <c:ptCount val="1"/>
                <c:pt idx="0">
                  <c:v>0</c:v>
                </c:pt>
              </c:strCache>
            </c:strRef>
          </c:tx>
          <c:spPr>
            <a:solidFill>
              <a:schemeClr val="accent1"/>
            </a:solidFill>
          </c:spPr>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6923776"/>
        <c:axId val="46926080"/>
      </c:barChart>
      <c:catAx>
        <c:axId val="4692377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title>
        <c:numFmt formatCode="#,##0.00" sourceLinked="1"/>
        <c:tickLblPos val="none"/>
        <c:crossAx val="46926080"/>
        <c:crosses val="autoZero"/>
        <c:auto val="1"/>
        <c:lblAlgn val="ctr"/>
        <c:lblOffset val="100"/>
      </c:catAx>
      <c:valAx>
        <c:axId val="46926080"/>
        <c:scaling>
          <c:orientation val="minMax"/>
        </c:scaling>
        <c:axPos val="l"/>
        <c:majorGridlines/>
        <c:title>
          <c:tx>
            <c:rich>
              <a:bodyPr rot="-5400000" vert="horz"/>
              <a:lstStyle/>
              <a:p>
                <a:pPr>
                  <a:defRPr/>
                </a:pPr>
                <a:r>
                  <a:rPr lang="en-US"/>
                  <a:t>Frequency</a:t>
                </a:r>
              </a:p>
            </c:rich>
          </c:tx>
          <c:layout/>
        </c:title>
        <c:numFmt formatCode="General" sourceLinked="1"/>
        <c:tickLblPos val="nextTo"/>
        <c:crossAx val="46923776"/>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Metrics'!$G$2</c:f>
              <c:strCache>
                <c:ptCount val="1"/>
                <c:pt idx="0">
                  <c:v>0</c:v>
                </c:pt>
              </c:strCache>
            </c:strRef>
          </c:tx>
          <c:spPr>
            <a:solidFill>
              <a:schemeClr val="accent1"/>
            </a:solidFill>
          </c:spPr>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6950656"/>
        <c:axId val="46965120"/>
      </c:barChart>
      <c:catAx>
        <c:axId val="46950656"/>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title>
        <c:numFmt formatCode="#,##0.00" sourceLinked="1"/>
        <c:tickLblPos val="none"/>
        <c:crossAx val="46965120"/>
        <c:crosses val="autoZero"/>
        <c:auto val="1"/>
        <c:lblAlgn val="ctr"/>
        <c:lblOffset val="100"/>
      </c:catAx>
      <c:valAx>
        <c:axId val="46965120"/>
        <c:scaling>
          <c:orientation val="minMax"/>
        </c:scaling>
        <c:axPos val="l"/>
        <c:majorGridlines/>
        <c:title>
          <c:tx>
            <c:rich>
              <a:bodyPr rot="-5400000" vert="horz"/>
              <a:lstStyle/>
              <a:p>
                <a:pPr>
                  <a:defRPr/>
                </a:pPr>
                <a:r>
                  <a:rPr lang="en-US"/>
                  <a:t>Frequency</a:t>
                </a:r>
              </a:p>
            </c:rich>
          </c:tx>
        </c:title>
        <c:numFmt formatCode="General" sourceLinked="1"/>
        <c:tickLblPos val="nextTo"/>
        <c:crossAx val="46950656"/>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Metrics'!$I$2</c:f>
              <c:strCache>
                <c:ptCount val="1"/>
                <c:pt idx="0">
                  <c:v>0</c:v>
                </c:pt>
              </c:strCache>
            </c:strRef>
          </c:tx>
          <c:spPr>
            <a:solidFill>
              <a:schemeClr val="accent1"/>
            </a:solidFill>
          </c:spPr>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7980928"/>
        <c:axId val="47982848"/>
      </c:barChart>
      <c:catAx>
        <c:axId val="47980928"/>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title>
        <c:numFmt formatCode="#,##0.00" sourceLinked="1"/>
        <c:tickLblPos val="none"/>
        <c:crossAx val="47982848"/>
        <c:crosses val="autoZero"/>
        <c:auto val="1"/>
        <c:lblAlgn val="ctr"/>
        <c:lblOffset val="100"/>
      </c:catAx>
      <c:valAx>
        <c:axId val="47982848"/>
        <c:scaling>
          <c:orientation val="minMax"/>
        </c:scaling>
        <c:axPos val="l"/>
        <c:majorGridlines/>
        <c:title>
          <c:tx>
            <c:rich>
              <a:bodyPr rot="-5400000" vert="horz"/>
              <a:lstStyle/>
              <a:p>
                <a:pPr>
                  <a:defRPr/>
                </a:pPr>
                <a:r>
                  <a:rPr lang="en-US"/>
                  <a:t>Frequency</a:t>
                </a:r>
              </a:p>
            </c:rich>
          </c:tx>
        </c:title>
        <c:numFmt formatCode="General" sourceLinked="1"/>
        <c:tickLblPos val="nextTo"/>
        <c:crossAx val="47980928"/>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Metrics'!$K$2</c:f>
              <c:strCache>
                <c:ptCount val="1"/>
                <c:pt idx="0">
                  <c:v>0</c:v>
                </c:pt>
              </c:strCache>
            </c:strRef>
          </c:tx>
          <c:spPr>
            <a:solidFill>
              <a:schemeClr val="accent1"/>
            </a:solidFill>
          </c:spPr>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7999232"/>
        <c:axId val="48017792"/>
      </c:barChart>
      <c:catAx>
        <c:axId val="47999232"/>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title>
        <c:numFmt formatCode="#,##0.00" sourceLinked="1"/>
        <c:tickLblPos val="none"/>
        <c:crossAx val="48017792"/>
        <c:crosses val="autoZero"/>
        <c:auto val="1"/>
        <c:lblAlgn val="ctr"/>
        <c:lblOffset val="100"/>
      </c:catAx>
      <c:valAx>
        <c:axId val="48017792"/>
        <c:scaling>
          <c:orientation val="minMax"/>
        </c:scaling>
        <c:axPos val="l"/>
        <c:majorGridlines/>
        <c:title>
          <c:tx>
            <c:rich>
              <a:bodyPr rot="-5400000" vert="horz"/>
              <a:lstStyle/>
              <a:p>
                <a:pPr>
                  <a:defRPr/>
                </a:pPr>
                <a:r>
                  <a:rPr lang="en-US"/>
                  <a:t>Frequency</a:t>
                </a:r>
              </a:p>
            </c:rich>
          </c:tx>
        </c:title>
        <c:numFmt formatCode="General" sourceLinked="1"/>
        <c:tickLblPos val="nextTo"/>
        <c:crossAx val="47999232"/>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Metrics'!$M$2</c:f>
              <c:strCache>
                <c:ptCount val="1"/>
                <c:pt idx="0">
                  <c:v>0</c:v>
                </c:pt>
              </c:strCache>
            </c:strRef>
          </c:tx>
          <c:spPr>
            <a:solidFill>
              <a:schemeClr val="accent1"/>
            </a:solidFill>
          </c:spPr>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471296"/>
        <c:axId val="50473216"/>
      </c:barChart>
      <c:catAx>
        <c:axId val="50471296"/>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title>
        <c:numFmt formatCode="#,##0.00" sourceLinked="1"/>
        <c:tickLblPos val="none"/>
        <c:crossAx val="50473216"/>
        <c:crosses val="autoZero"/>
        <c:auto val="1"/>
        <c:lblAlgn val="ctr"/>
        <c:lblOffset val="100"/>
      </c:catAx>
      <c:valAx>
        <c:axId val="50473216"/>
        <c:scaling>
          <c:orientation val="minMax"/>
        </c:scaling>
        <c:axPos val="l"/>
        <c:majorGridlines/>
        <c:title>
          <c:tx>
            <c:rich>
              <a:bodyPr rot="-5400000" vert="horz"/>
              <a:lstStyle/>
              <a:p>
                <a:pPr>
                  <a:defRPr/>
                </a:pPr>
                <a:r>
                  <a:rPr lang="en-US"/>
                  <a:t>Frequency</a:t>
                </a:r>
              </a:p>
            </c:rich>
          </c:tx>
        </c:title>
        <c:numFmt formatCode="General" sourceLinked="1"/>
        <c:tickLblPos val="nextTo"/>
        <c:crossAx val="50471296"/>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Metrics'!$O$2</c:f>
              <c:strCache>
                <c:ptCount val="1"/>
                <c:pt idx="0">
                  <c:v>0</c:v>
                </c:pt>
              </c:strCache>
            </c:strRef>
          </c:tx>
          <c:spPr>
            <a:solidFill>
              <a:schemeClr val="accent1"/>
            </a:solidFill>
          </c:spPr>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489600"/>
        <c:axId val="50516352"/>
      </c:barChart>
      <c:catAx>
        <c:axId val="5048960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title>
        <c:numFmt formatCode="#,##0.00" sourceLinked="1"/>
        <c:tickLblPos val="none"/>
        <c:crossAx val="50516352"/>
        <c:crosses val="autoZero"/>
        <c:auto val="1"/>
        <c:lblAlgn val="ctr"/>
        <c:lblOffset val="100"/>
      </c:catAx>
      <c:valAx>
        <c:axId val="50516352"/>
        <c:scaling>
          <c:orientation val="minMax"/>
        </c:scaling>
        <c:axPos val="l"/>
        <c:majorGridlines/>
        <c:title>
          <c:tx>
            <c:rich>
              <a:bodyPr rot="-5400000" vert="horz"/>
              <a:lstStyle/>
              <a:p>
                <a:pPr>
                  <a:defRPr/>
                </a:pPr>
                <a:r>
                  <a:rPr lang="en-US"/>
                  <a:t>Frequency</a:t>
                </a:r>
              </a:p>
            </c:rich>
          </c:tx>
        </c:title>
        <c:numFmt formatCode="General" sourceLinked="1"/>
        <c:tickLblPos val="nextTo"/>
        <c:crossAx val="50489600"/>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Metrics'!$S$2</c:f>
              <c:strCache>
                <c:ptCount val="1"/>
                <c:pt idx="0">
                  <c:v>0</c:v>
                </c:pt>
              </c:strCache>
            </c:strRef>
          </c:tx>
          <c:spPr>
            <a:solidFill>
              <a:schemeClr val="accent1"/>
            </a:solidFill>
          </c:spPr>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545024"/>
        <c:axId val="50546944"/>
      </c:barChart>
      <c:catAx>
        <c:axId val="50545024"/>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title>
        <c:numFmt formatCode="#,##0.00" sourceLinked="1"/>
        <c:tickLblPos val="none"/>
        <c:crossAx val="50546944"/>
        <c:crosses val="autoZero"/>
        <c:auto val="1"/>
        <c:lblAlgn val="ctr"/>
        <c:lblOffset val="100"/>
      </c:catAx>
      <c:valAx>
        <c:axId val="50546944"/>
        <c:scaling>
          <c:orientation val="minMax"/>
        </c:scaling>
        <c:axPos val="l"/>
        <c:majorGridlines/>
        <c:title>
          <c:tx>
            <c:rich>
              <a:bodyPr rot="-5400000" vert="horz"/>
              <a:lstStyle/>
              <a:p>
                <a:pPr>
                  <a:defRPr/>
                </a:pPr>
                <a:r>
                  <a:rPr lang="en-US"/>
                  <a:t>Frequency</a:t>
                </a:r>
              </a:p>
            </c:rich>
          </c:tx>
        </c:title>
        <c:numFmt formatCode="General" sourceLinked="1"/>
        <c:tickLblPos val="nextTo"/>
        <c:crossAx val="50545024"/>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Metrics'!$Q$2</c:f>
              <c:strCache>
                <c:ptCount val="1"/>
                <c:pt idx="0">
                  <c:v>0</c:v>
                </c:pt>
              </c:strCache>
            </c:strRef>
          </c:tx>
          <c:spPr>
            <a:solidFill>
              <a:schemeClr val="accent1"/>
            </a:solidFill>
          </c:spPr>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575616"/>
        <c:axId val="50581888"/>
      </c:barChart>
      <c:catAx>
        <c:axId val="5057561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title>
        <c:numFmt formatCode="#,##0.00" sourceLinked="1"/>
        <c:tickLblPos val="none"/>
        <c:crossAx val="50581888"/>
        <c:crosses val="autoZero"/>
        <c:auto val="1"/>
        <c:lblAlgn val="ctr"/>
        <c:lblOffset val="100"/>
      </c:catAx>
      <c:valAx>
        <c:axId val="50581888"/>
        <c:scaling>
          <c:orientation val="minMax"/>
        </c:scaling>
        <c:axPos val="l"/>
        <c:majorGridlines/>
        <c:title>
          <c:tx>
            <c:rich>
              <a:bodyPr rot="-5400000" vert="horz"/>
              <a:lstStyle/>
              <a:p>
                <a:pPr>
                  <a:defRPr/>
                </a:pPr>
                <a:r>
                  <a:rPr lang="en-US"/>
                  <a:t>Frequency</a:t>
                </a:r>
              </a:p>
            </c:rich>
          </c:tx>
        </c:title>
        <c:numFmt formatCode="General" sourceLinked="1"/>
        <c:tickLblPos val="nextTo"/>
        <c:crossAx val="50575616"/>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ser>
          <c:idx val="1"/>
          <c:order val="0"/>
          <c:tx>
            <c:strRef>
              <c:f>'Overall Metrics'!$U$2</c:f>
              <c:strCache>
                <c:ptCount val="1"/>
                <c:pt idx="0">
                  <c:v>#REF!</c:v>
                </c:pt>
              </c:strCache>
            </c:strRef>
          </c:tx>
          <c:spPr>
            <a:solidFill>
              <a:schemeClr val="accent1"/>
            </a:solidFill>
          </c:spPr>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663808"/>
        <c:axId val="50665344"/>
      </c:barChart>
      <c:catAx>
        <c:axId val="50663808"/>
        <c:scaling>
          <c:orientation val="minMax"/>
        </c:scaling>
        <c:delete val="1"/>
        <c:axPos val="b"/>
        <c:numFmt formatCode="#,##0.00" sourceLinked="1"/>
        <c:tickLblPos val="none"/>
        <c:crossAx val="50665344"/>
        <c:crosses val="autoZero"/>
        <c:auto val="1"/>
        <c:lblAlgn val="ctr"/>
        <c:lblOffset val="100"/>
      </c:catAx>
      <c:valAx>
        <c:axId val="50665344"/>
        <c:scaling>
          <c:orientation val="minMax"/>
        </c:scaling>
        <c:delete val="1"/>
        <c:axPos val="l"/>
        <c:numFmt formatCode="General" sourceLinked="1"/>
        <c:tickLblPos val="none"/>
        <c:crossAx val="50663808"/>
        <c:crosses val="autoZero"/>
        <c:crossBetween val="between"/>
      </c:valAx>
      <c:spPr>
        <a:solidFill>
          <a:schemeClr val="bg1">
            <a:lumMod val="85000"/>
          </a:schemeClr>
        </a:solidFill>
        <a:ln>
          <a:noFill/>
        </a:ln>
      </c:spPr>
    </c:plotArea>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filterColumn colId="3"/>
    <filterColumn colId="4"/>
    <filterColumn colId="5"/>
    <filterColumn colId="6"/>
    <filterColumn colId="7"/>
    <filterColumn colId="8"/>
    <filterColumn colId="9"/>
    <filterColumn colId="10"/>
    <filterColumn colId="11"/>
    <filterColumn colId="12"/>
    <filterColumn colId="13"/>
  </autoFilter>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filterColumn colId="28"/>
  </autoFilter>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autoFilter>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filterColumn colId="2"/>
  </autoFilter>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autoFilter>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4" totalsRowShown="0" headerRowDxfId="1">
  <autoFilter ref="J1:K4"/>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sheetPr codeName="Sheet1"/>
  <dimension ref="A1:N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c r="C1" s="18" t="s">
        <v>40</v>
      </c>
      <c r="D1" s="19"/>
      <c r="E1" s="19"/>
      <c r="F1" s="19"/>
      <c r="G1" s="18"/>
      <c r="H1" s="16" t="s">
        <v>44</v>
      </c>
      <c r="I1" s="66"/>
      <c r="J1" s="66"/>
      <c r="K1" s="35" t="s">
        <v>43</v>
      </c>
      <c r="L1" s="20" t="s">
        <v>41</v>
      </c>
      <c r="M1" s="20"/>
      <c r="N1" s="17" t="s">
        <v>42</v>
      </c>
    </row>
    <row r="2" spans="1:14" ht="30" customHeight="1">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c r="A3" s="50"/>
      <c r="B3" s="50"/>
      <c r="C3" s="54"/>
      <c r="D3" s="55"/>
      <c r="E3" s="67"/>
      <c r="F3" s="56"/>
      <c r="G3" s="54"/>
      <c r="H3" s="58"/>
      <c r="I3" s="57"/>
      <c r="J3" s="57"/>
      <c r="K3" s="69"/>
      <c r="L3" s="63"/>
      <c r="M3" s="63"/>
      <c r="N3" s="64"/>
    </row>
    <row r="4" spans="1:14" ht="15" customHeight="1"/>
    <row r="23" spans="13:13">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H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50</v>
      </c>
    </row>
    <row r="2" spans="1:1" ht="15" customHeight="1"/>
    <row r="3" spans="1:1" ht="15" customHeight="1">
      <c r="A3" s="32" t="s">
        <v>51</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X10"/>
  <sheetViews>
    <sheetView workbookViewId="0">
      <pane ySplit="2" topLeftCell="A3" activePane="bottomLeft" state="frozen"/>
      <selection pane="bottomLeft" activeCell="A3" sqref="A3"/>
    </sheetView>
  </sheetViews>
  <sheetFormatPr defaultRowHeight="1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C2"/>
  <sheetViews>
    <sheetView workbookViewId="0">
      <selection activeCell="A2" sqref="A2"/>
    </sheetView>
  </sheetViews>
  <sheetFormatPr defaultRowHeight="15"/>
  <cols>
    <col min="1" max="1" width="9.42578125" style="1" bestFit="1" customWidth="1"/>
    <col min="2" max="2" width="9.140625" style="1"/>
    <col min="3" max="3" width="11.5703125" bestFit="1" customWidth="1"/>
    <col min="4" max="4" width="9.140625" customWidth="1"/>
  </cols>
  <sheetData>
    <row r="1" spans="1:3">
      <c r="A1" s="1" t="s">
        <v>145</v>
      </c>
      <c r="B1" s="1" t="s">
        <v>5</v>
      </c>
      <c r="C1" s="1" t="s">
        <v>148</v>
      </c>
    </row>
    <row r="2" spans="1:3">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sheetPr codeName="Sheet7"/>
  <dimension ref="A1:X144"/>
  <sheetViews>
    <sheetView workbookViewId="0">
      <selection activeCell="A2" sqref="A2"/>
    </sheetView>
  </sheetViews>
  <sheetFormatPr defaultRowHeight="1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c r="A46" s="35" t="s">
        <v>85</v>
      </c>
      <c r="B46" s="49" t="str">
        <f>IFERROR(MEDIAN(Vertices[Degree]),NoMetricMessage)</f>
        <v>Not Available</v>
      </c>
    </row>
    <row r="57" spans="1:2">
      <c r="A57" s="35" t="s">
        <v>89</v>
      </c>
      <c r="B57" s="48" t="str">
        <f>IF(COUNT(Vertices[In-Degree])&gt;0, F2, NoMetricMessage)</f>
        <v>Not Available</v>
      </c>
    </row>
    <row r="58" spans="1:2">
      <c r="A58" s="35" t="s">
        <v>90</v>
      </c>
      <c r="B58" s="48" t="str">
        <f>IF(COUNT(Vertices[In-Degree])&gt;0, F45, NoMetricMessage)</f>
        <v>Not Available</v>
      </c>
    </row>
    <row r="59" spans="1:2">
      <c r="A59" s="35" t="s">
        <v>91</v>
      </c>
      <c r="B59" s="49" t="str">
        <f>IFERROR(AVERAGE(Vertices[In-Degree]),NoMetricMessage)</f>
        <v>Not Available</v>
      </c>
    </row>
    <row r="60" spans="1:2">
      <c r="A60" s="35" t="s">
        <v>92</v>
      </c>
      <c r="B60" s="49" t="str">
        <f>IFERROR(MEDIAN(Vertices[In-Degree]),NoMetricMessage)</f>
        <v>Not Available</v>
      </c>
    </row>
    <row r="71" spans="1:2">
      <c r="A71" s="35" t="s">
        <v>95</v>
      </c>
      <c r="B71" s="48" t="str">
        <f>IF(COUNT(Vertices[Out-Degree])&gt;0, H2, NoMetricMessage)</f>
        <v>Not Available</v>
      </c>
    </row>
    <row r="72" spans="1:2">
      <c r="A72" s="35" t="s">
        <v>96</v>
      </c>
      <c r="B72" s="48" t="str">
        <f>IF(COUNT(Vertices[Out-Degree])&gt;0, H45, NoMetricMessage)</f>
        <v>Not Available</v>
      </c>
    </row>
    <row r="73" spans="1:2">
      <c r="A73" s="35" t="s">
        <v>97</v>
      </c>
      <c r="B73" s="49" t="str">
        <f>IFERROR(AVERAGE(Vertices[Out-Degree]),NoMetricMessage)</f>
        <v>Not Available</v>
      </c>
    </row>
    <row r="74" spans="1:2">
      <c r="A74" s="35" t="s">
        <v>98</v>
      </c>
      <c r="B74" s="49" t="str">
        <f>IFERROR(MEDIAN(Vertices[Out-Degree]),NoMetricMessage)</f>
        <v>Not Available</v>
      </c>
    </row>
    <row r="85" spans="1:2">
      <c r="A85" s="35" t="s">
        <v>101</v>
      </c>
      <c r="B85" s="49" t="str">
        <f>IF(COUNT(Vertices[Betweenness Centrality])&gt;0, J2, NoMetricMessage)</f>
        <v>Not Available</v>
      </c>
    </row>
    <row r="86" spans="1:2">
      <c r="A86" s="35" t="s">
        <v>102</v>
      </c>
      <c r="B86" s="49" t="str">
        <f>IF(COUNT(Vertices[Betweenness Centrality])&gt;0, J45, NoMetricMessage)</f>
        <v>Not Available</v>
      </c>
    </row>
    <row r="87" spans="1:2">
      <c r="A87" s="35" t="s">
        <v>103</v>
      </c>
      <c r="B87" s="49" t="str">
        <f>IFERROR(AVERAGE(Vertices[Betweenness Centrality]),NoMetricMessage)</f>
        <v>Not Available</v>
      </c>
    </row>
    <row r="88" spans="1:2">
      <c r="A88" s="35" t="s">
        <v>104</v>
      </c>
      <c r="B88" s="49" t="str">
        <f>IFERROR(MEDIAN(Vertices[Betweenness Centrality]),NoMetricMessage)</f>
        <v>Not Available</v>
      </c>
    </row>
    <row r="99" spans="1:2">
      <c r="A99" s="35" t="s">
        <v>107</v>
      </c>
      <c r="B99" s="49" t="str">
        <f>IF(COUNT(Vertices[Closeness Centrality])&gt;0, L2, NoMetricMessage)</f>
        <v>Not Available</v>
      </c>
    </row>
    <row r="100" spans="1:2">
      <c r="A100" s="35" t="s">
        <v>108</v>
      </c>
      <c r="B100" s="49" t="str">
        <f>IF(COUNT(Vertices[Closeness Centrality])&gt;0, L45, NoMetricMessage)</f>
        <v>Not Available</v>
      </c>
    </row>
    <row r="101" spans="1:2">
      <c r="A101" s="35" t="s">
        <v>109</v>
      </c>
      <c r="B101" s="49" t="str">
        <f>IFERROR(AVERAGE(Vertices[Closeness Centrality]),NoMetricMessage)</f>
        <v>Not Available</v>
      </c>
    </row>
    <row r="102" spans="1:2">
      <c r="A102" s="35" t="s">
        <v>110</v>
      </c>
      <c r="B102" s="49" t="str">
        <f>IFERROR(MEDIAN(Vertices[Closeness Centrality]),NoMetricMessage)</f>
        <v>Not Available</v>
      </c>
    </row>
    <row r="113" spans="1:2">
      <c r="A113" s="35" t="s">
        <v>113</v>
      </c>
      <c r="B113" s="49" t="str">
        <f>IF(COUNT(Vertices[Eigenvector Centrality])&gt;0, N2, NoMetricMessage)</f>
        <v>Not Available</v>
      </c>
    </row>
    <row r="114" spans="1:2">
      <c r="A114" s="35" t="s">
        <v>114</v>
      </c>
      <c r="B114" s="49" t="str">
        <f>IF(COUNT(Vertices[Eigenvector Centrality])&gt;0, N45, NoMetricMessage)</f>
        <v>Not Available</v>
      </c>
    </row>
    <row r="115" spans="1:2">
      <c r="A115" s="35" t="s">
        <v>115</v>
      </c>
      <c r="B115" s="49" t="str">
        <f>IFERROR(AVERAGE(Vertices[Eigenvector Centrality]),NoMetricMessage)</f>
        <v>Not Available</v>
      </c>
    </row>
    <row r="116" spans="1:2">
      <c r="A116" s="35" t="s">
        <v>116</v>
      </c>
      <c r="B116" s="49" t="str">
        <f>IFERROR(MEDIAN(Vertices[Eigenvector Centrality]),NoMetricMessage)</f>
        <v>Not Available</v>
      </c>
    </row>
    <row r="127" spans="1:2">
      <c r="A127" s="35" t="s">
        <v>141</v>
      </c>
      <c r="B127" s="49" t="str">
        <f>IF(COUNT(Vertices[PageRank])&gt;0, P2, NoMetricMessage)</f>
        <v>Not Available</v>
      </c>
    </row>
    <row r="128" spans="1:2">
      <c r="A128" s="35" t="s">
        <v>142</v>
      </c>
      <c r="B128" s="49" t="str">
        <f>IF(COUNT(Vertices[PageRank])&gt;0, P45, NoMetricMessage)</f>
        <v>Not Available</v>
      </c>
    </row>
    <row r="129" spans="1:2">
      <c r="A129" s="35" t="s">
        <v>143</v>
      </c>
      <c r="B129" s="49" t="str">
        <f>IFERROR(AVERAGE(Vertices[PageRank]),NoMetricMessage)</f>
        <v>Not Available</v>
      </c>
    </row>
    <row r="130" spans="1:2">
      <c r="A130" s="35" t="s">
        <v>144</v>
      </c>
      <c r="B130" s="49" t="str">
        <f>IFERROR(MEDIAN(Vertices[PageRank]),NoMetricMessage)</f>
        <v>Not Available</v>
      </c>
    </row>
    <row r="141" spans="1:2">
      <c r="A141" s="35" t="s">
        <v>119</v>
      </c>
      <c r="B141" s="49" t="str">
        <f>IF(COUNT(Vertices[Clustering Coefficient])&gt;0, R2, NoMetricMessage)</f>
        <v>Not Available</v>
      </c>
    </row>
    <row r="142" spans="1:2">
      <c r="A142" s="35" t="s">
        <v>120</v>
      </c>
      <c r="B142" s="49" t="str">
        <f>IF(COUNT(Vertices[Clustering Coefficient])&gt;0, R45, NoMetricMessage)</f>
        <v>Not Available</v>
      </c>
    </row>
    <row r="143" spans="1:2">
      <c r="A143" s="35" t="s">
        <v>121</v>
      </c>
      <c r="B143" s="49" t="str">
        <f>IFERROR(AVERAGE(Vertices[Clustering Coefficient]),NoMetricMessage)</f>
        <v>Not Available</v>
      </c>
    </row>
    <row r="144" spans="1:2">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sheetPr codeName="Sheet4"/>
  <dimension ref="A1:R23"/>
  <sheetViews>
    <sheetView workbookViewId="0">
      <selection activeCell="A2" sqref="A2"/>
    </sheetView>
  </sheetViews>
  <sheetFormatPr defaultRowHeight="1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c r="A2" s="1" t="s">
        <v>52</v>
      </c>
      <c r="B2" s="1" t="s">
        <v>133</v>
      </c>
      <c r="C2" t="s">
        <v>55</v>
      </c>
      <c r="D2" t="s">
        <v>56</v>
      </c>
      <c r="E2" t="s">
        <v>56</v>
      </c>
      <c r="F2" s="1" t="s">
        <v>52</v>
      </c>
      <c r="G2" t="s">
        <v>66</v>
      </c>
      <c r="H2" t="s">
        <v>160</v>
      </c>
      <c r="J2" t="s">
        <v>19</v>
      </c>
      <c r="K2">
        <v>105</v>
      </c>
    </row>
    <row r="3" spans="1:18">
      <c r="A3" s="1" t="s">
        <v>53</v>
      </c>
      <c r="B3" s="1" t="s">
        <v>134</v>
      </c>
      <c r="C3" t="s">
        <v>53</v>
      </c>
      <c r="D3" t="s">
        <v>57</v>
      </c>
      <c r="E3" t="s">
        <v>57</v>
      </c>
      <c r="F3" s="1" t="s">
        <v>53</v>
      </c>
      <c r="G3" t="s">
        <v>67</v>
      </c>
      <c r="H3" t="s">
        <v>69</v>
      </c>
      <c r="J3" t="s">
        <v>30</v>
      </c>
      <c r="K3" t="s">
        <v>31</v>
      </c>
    </row>
    <row r="4" spans="1:18">
      <c r="A4" s="1" t="s">
        <v>54</v>
      </c>
      <c r="B4" s="1" t="s">
        <v>135</v>
      </c>
      <c r="C4" t="s">
        <v>54</v>
      </c>
      <c r="D4" t="s">
        <v>58</v>
      </c>
      <c r="E4" t="s">
        <v>58</v>
      </c>
      <c r="F4" s="1" t="s">
        <v>54</v>
      </c>
      <c r="G4">
        <v>0</v>
      </c>
      <c r="H4" t="s">
        <v>70</v>
      </c>
      <c r="J4" s="12" t="s">
        <v>79</v>
      </c>
      <c r="K4" s="12"/>
    </row>
    <row r="5" spans="1:18">
      <c r="A5">
        <v>1</v>
      </c>
      <c r="B5" s="1" t="s">
        <v>136</v>
      </c>
      <c r="C5" t="s">
        <v>52</v>
      </c>
      <c r="D5" t="s">
        <v>59</v>
      </c>
      <c r="E5" t="s">
        <v>59</v>
      </c>
      <c r="F5">
        <v>1</v>
      </c>
      <c r="G5">
        <v>1</v>
      </c>
      <c r="H5" t="s">
        <v>71</v>
      </c>
    </row>
    <row r="6" spans="1:18">
      <c r="A6">
        <v>0</v>
      </c>
      <c r="B6" s="1" t="s">
        <v>137</v>
      </c>
      <c r="C6">
        <v>1</v>
      </c>
      <c r="D6" t="s">
        <v>60</v>
      </c>
      <c r="E6" t="s">
        <v>60</v>
      </c>
      <c r="F6">
        <v>0</v>
      </c>
      <c r="H6" t="s">
        <v>72</v>
      </c>
      <c r="R6" t="s">
        <v>130</v>
      </c>
    </row>
    <row r="7" spans="1:18">
      <c r="A7">
        <v>2</v>
      </c>
      <c r="B7">
        <v>1</v>
      </c>
      <c r="C7">
        <v>0</v>
      </c>
      <c r="D7" t="s">
        <v>61</v>
      </c>
      <c r="E7" t="s">
        <v>61</v>
      </c>
      <c r="F7">
        <v>2</v>
      </c>
      <c r="H7" t="s">
        <v>73</v>
      </c>
    </row>
    <row r="8" spans="1:18">
      <c r="A8"/>
      <c r="B8">
        <v>2</v>
      </c>
      <c r="C8">
        <v>2</v>
      </c>
      <c r="D8" t="s">
        <v>62</v>
      </c>
      <c r="E8" t="s">
        <v>62</v>
      </c>
      <c r="H8" t="s">
        <v>74</v>
      </c>
    </row>
    <row r="9" spans="1:18">
      <c r="A9"/>
      <c r="B9">
        <v>3</v>
      </c>
      <c r="C9">
        <v>4</v>
      </c>
      <c r="D9" t="s">
        <v>63</v>
      </c>
      <c r="E9" t="s">
        <v>63</v>
      </c>
      <c r="H9" t="s">
        <v>75</v>
      </c>
    </row>
    <row r="10" spans="1:18">
      <c r="A10"/>
      <c r="B10">
        <v>4</v>
      </c>
      <c r="D10" t="s">
        <v>64</v>
      </c>
      <c r="E10" t="s">
        <v>64</v>
      </c>
      <c r="H10" t="s">
        <v>76</v>
      </c>
    </row>
    <row r="11" spans="1:18">
      <c r="A11"/>
      <c r="B11">
        <v>5</v>
      </c>
      <c r="D11" t="s">
        <v>47</v>
      </c>
      <c r="E11">
        <v>1</v>
      </c>
      <c r="H11" t="s">
        <v>77</v>
      </c>
    </row>
    <row r="12" spans="1:18">
      <c r="A12"/>
      <c r="B12"/>
      <c r="D12" t="s">
        <v>65</v>
      </c>
      <c r="E12">
        <v>2</v>
      </c>
      <c r="H12">
        <v>0</v>
      </c>
    </row>
    <row r="13" spans="1:18">
      <c r="A13"/>
      <c r="B13"/>
      <c r="D13">
        <v>1</v>
      </c>
      <c r="E13">
        <v>3</v>
      </c>
      <c r="H13">
        <v>1</v>
      </c>
    </row>
    <row r="14" spans="1:18">
      <c r="D14">
        <v>2</v>
      </c>
      <c r="E14">
        <v>4</v>
      </c>
      <c r="H14">
        <v>2</v>
      </c>
    </row>
    <row r="15" spans="1:18">
      <c r="D15">
        <v>3</v>
      </c>
      <c r="E15">
        <v>5</v>
      </c>
      <c r="H15">
        <v>3</v>
      </c>
    </row>
    <row r="16" spans="1:18">
      <c r="D16">
        <v>4</v>
      </c>
      <c r="E16">
        <v>6</v>
      </c>
      <c r="H16">
        <v>4</v>
      </c>
    </row>
    <row r="17" spans="4:8">
      <c r="D17">
        <v>5</v>
      </c>
      <c r="E17">
        <v>7</v>
      </c>
      <c r="H17">
        <v>5</v>
      </c>
    </row>
    <row r="18" spans="4:8">
      <c r="D18">
        <v>6</v>
      </c>
      <c r="E18">
        <v>8</v>
      </c>
      <c r="H18">
        <v>6</v>
      </c>
    </row>
    <row r="19" spans="4:8">
      <c r="D19">
        <v>7</v>
      </c>
      <c r="E19">
        <v>9</v>
      </c>
      <c r="H19">
        <v>7</v>
      </c>
    </row>
    <row r="20" spans="4:8">
      <c r="D20">
        <v>8</v>
      </c>
      <c r="H20">
        <v>8</v>
      </c>
    </row>
    <row r="21" spans="4:8">
      <c r="D21">
        <v>9</v>
      </c>
      <c r="H21">
        <v>9</v>
      </c>
    </row>
    <row r="22" spans="4:8">
      <c r="D22">
        <v>10</v>
      </c>
    </row>
    <row r="23" spans="4:8">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Tony</cp:lastModifiedBy>
  <dcterms:created xsi:type="dcterms:W3CDTF">2008-01-30T00:41:58Z</dcterms:created>
  <dcterms:modified xsi:type="dcterms:W3CDTF">2012-11-24T20:27:47Z</dcterms:modified>
</cp:coreProperties>
</file>