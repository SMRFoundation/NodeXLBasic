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tables/table10.xml" ContentType="application/vnd.openxmlformats-officedocument.spreadsheetml.table+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workbookPr codeName="ThisWorkbook" defaultThemeVersion="124226"/>
  <bookViews>
    <workbookView xWindow="90" yWindow="1680" windowWidth="22170" windowHeight="7875"/>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Misc!$G$2:$G$5</definedName>
    <definedName name="ValidEdgeStyles">Misc!$B$2:$B$11</definedName>
    <definedName name="ValidEdgeVisibilities">Misc!$A$2:$A$7</definedName>
    <definedName name="ValidGroupShapes">Misc!$E$2:$E$19</definedName>
    <definedName name="ValidGroupVisibilities">Misc!$F$2:$F$7</definedName>
    <definedName name="ValidVertexLabelPositions">Misc!$H$2:$H$21</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B128" i="7"/>
  <c r="B127"/>
  <c r="B130"/>
  <c r="B129"/>
  <c r="P45"/>
  <c r="Q45" s="1"/>
  <c r="P2"/>
  <c r="B142"/>
  <c r="B141"/>
  <c r="B144"/>
  <c r="B143"/>
  <c r="R45"/>
  <c r="S45" s="1"/>
  <c r="R2"/>
  <c r="B114"/>
  <c r="B113"/>
  <c r="B116"/>
  <c r="B115"/>
  <c r="N45"/>
  <c r="O45" s="1"/>
  <c r="N2"/>
  <c r="B100"/>
  <c r="B99"/>
  <c r="B86"/>
  <c r="B85"/>
  <c r="B102"/>
  <c r="B101"/>
  <c r="L45"/>
  <c r="M45" s="1"/>
  <c r="L2"/>
  <c r="B72"/>
  <c r="B71"/>
  <c r="B58"/>
  <c r="B57"/>
  <c r="B88"/>
  <c r="B87"/>
  <c r="J45"/>
  <c r="K45" s="1"/>
  <c r="J2"/>
  <c r="B74"/>
  <c r="B73"/>
  <c r="H45"/>
  <c r="I45" s="1"/>
  <c r="H2"/>
  <c r="B60"/>
  <c r="B59"/>
  <c r="F45"/>
  <c r="G45" s="1"/>
  <c r="F2"/>
  <c r="B44"/>
  <c r="B43"/>
  <c r="B46"/>
  <c r="B45"/>
  <c r="T45"/>
  <c r="T2"/>
  <c r="X2" l="1"/>
  <c r="P3" s="1"/>
  <c r="P4" s="1"/>
  <c r="P5" s="1"/>
  <c r="P6" s="1"/>
  <c r="P7" s="1"/>
  <c r="P8" s="1"/>
  <c r="P9" s="1"/>
  <c r="P10" s="1"/>
  <c r="P11" s="1"/>
  <c r="P12" s="1"/>
  <c r="P13" s="1"/>
  <c r="P14" s="1"/>
  <c r="P15" s="1"/>
  <c r="P16" s="1"/>
  <c r="P17" s="1"/>
  <c r="P18" s="1"/>
  <c r="P19" s="1"/>
  <c r="P20" s="1"/>
  <c r="P21" s="1"/>
  <c r="P22" s="1"/>
  <c r="P23" s="1"/>
  <c r="P24" s="1"/>
  <c r="P25" s="1"/>
  <c r="P26" s="1"/>
  <c r="P27" s="1"/>
  <c r="P28" s="1"/>
  <c r="P29" s="1"/>
  <c r="P30" s="1"/>
  <c r="P31" s="1"/>
  <c r="P32" s="1"/>
  <c r="P33" s="1"/>
  <c r="P34" s="1"/>
  <c r="P35" s="1"/>
  <c r="P36" s="1"/>
  <c r="P37" s="1"/>
  <c r="P38" s="1"/>
  <c r="P39" s="1"/>
  <c r="P40" s="1"/>
  <c r="P41" s="1"/>
  <c r="P42" s="1"/>
  <c r="P43" s="1"/>
  <c r="P44" s="1"/>
  <c r="D45"/>
  <c r="E45" s="1"/>
  <c r="D2"/>
  <c r="U45"/>
  <c r="Q3" l="1"/>
  <c r="Q2"/>
  <c r="R3"/>
  <c r="R4" s="1"/>
  <c r="S3" s="1"/>
  <c r="T3"/>
  <c r="L3"/>
  <c r="M2" s="1"/>
  <c r="N3"/>
  <c r="H3"/>
  <c r="J3"/>
  <c r="D3"/>
  <c r="D4" s="1"/>
  <c r="E3" s="1"/>
  <c r="F3"/>
  <c r="U2"/>
  <c r="Q5" l="1"/>
  <c r="Q4"/>
  <c r="S2"/>
  <c r="T4"/>
  <c r="R5"/>
  <c r="S4" s="1"/>
  <c r="N4"/>
  <c r="O2"/>
  <c r="L4"/>
  <c r="L5" s="1"/>
  <c r="L6" s="1"/>
  <c r="L7" s="1"/>
  <c r="L8" s="1"/>
  <c r="L9" s="1"/>
  <c r="L10" s="1"/>
  <c r="L11" s="1"/>
  <c r="L12" s="1"/>
  <c r="L13" s="1"/>
  <c r="L14" s="1"/>
  <c r="L15" s="1"/>
  <c r="L16" s="1"/>
  <c r="L17" s="1"/>
  <c r="L18" s="1"/>
  <c r="L19" s="1"/>
  <c r="L20" s="1"/>
  <c r="L21" s="1"/>
  <c r="L22" s="1"/>
  <c r="L23" s="1"/>
  <c r="L24" s="1"/>
  <c r="L25" s="1"/>
  <c r="L26" s="1"/>
  <c r="L27" s="1"/>
  <c r="L28" s="1"/>
  <c r="L29" s="1"/>
  <c r="L30" s="1"/>
  <c r="L31" s="1"/>
  <c r="L32" s="1"/>
  <c r="L33" s="1"/>
  <c r="L34" s="1"/>
  <c r="L35" s="1"/>
  <c r="L36" s="1"/>
  <c r="L37" s="1"/>
  <c r="L38" s="1"/>
  <c r="L39" s="1"/>
  <c r="L40" s="1"/>
  <c r="L41" s="1"/>
  <c r="L42" s="1"/>
  <c r="L43" s="1"/>
  <c r="L44" s="1"/>
  <c r="I2"/>
  <c r="J4"/>
  <c r="K2"/>
  <c r="H4"/>
  <c r="H5" s="1"/>
  <c r="E2"/>
  <c r="F4"/>
  <c r="G2"/>
  <c r="D5"/>
  <c r="E4" s="1"/>
  <c r="U3"/>
  <c r="Q6" l="1"/>
  <c r="T5"/>
  <c r="M3"/>
  <c r="R6"/>
  <c r="S5" s="1"/>
  <c r="I3"/>
  <c r="N5"/>
  <c r="O3"/>
  <c r="M4"/>
  <c r="M5"/>
  <c r="M6"/>
  <c r="J5"/>
  <c r="K3"/>
  <c r="H6"/>
  <c r="I5" s="1"/>
  <c r="I4"/>
  <c r="F5"/>
  <c r="G3"/>
  <c r="D6"/>
  <c r="E5" s="1"/>
  <c r="U4"/>
  <c r="Q7" l="1"/>
  <c r="T6"/>
  <c r="R7"/>
  <c r="S6" s="1"/>
  <c r="N6"/>
  <c r="O4"/>
  <c r="M7"/>
  <c r="J6"/>
  <c r="K4"/>
  <c r="H7"/>
  <c r="I6" s="1"/>
  <c r="F6"/>
  <c r="G4"/>
  <c r="D7"/>
  <c r="E6" s="1"/>
  <c r="U5"/>
  <c r="T7" l="1"/>
  <c r="R8"/>
  <c r="N7"/>
  <c r="O5"/>
  <c r="M8"/>
  <c r="J7"/>
  <c r="K6" s="1"/>
  <c r="K5"/>
  <c r="H8"/>
  <c r="F7"/>
  <c r="G6" s="1"/>
  <c r="G5"/>
  <c r="D8"/>
  <c r="E7" s="1"/>
  <c r="U6"/>
  <c r="Q9" l="1"/>
  <c r="Q8"/>
  <c r="T8"/>
  <c r="R9"/>
  <c r="S7"/>
  <c r="N8"/>
  <c r="O6"/>
  <c r="M9"/>
  <c r="J8"/>
  <c r="K7" s="1"/>
  <c r="H9"/>
  <c r="I8" s="1"/>
  <c r="I7"/>
  <c r="F8"/>
  <c r="D9"/>
  <c r="E8" s="1"/>
  <c r="U7"/>
  <c r="Q10" l="1"/>
  <c r="T9"/>
  <c r="R10"/>
  <c r="S9" s="1"/>
  <c r="S8"/>
  <c r="N9"/>
  <c r="O8" s="1"/>
  <c r="O7"/>
  <c r="M10"/>
  <c r="J9"/>
  <c r="K8" s="1"/>
  <c r="H10"/>
  <c r="I9" s="1"/>
  <c r="F9"/>
  <c r="G8" s="1"/>
  <c r="G7"/>
  <c r="D10"/>
  <c r="E9" s="1"/>
  <c r="U8"/>
  <c r="Q11" l="1"/>
  <c r="T10"/>
  <c r="R11"/>
  <c r="S10" s="1"/>
  <c r="N10"/>
  <c r="O9" s="1"/>
  <c r="M11"/>
  <c r="J10"/>
  <c r="K9" s="1"/>
  <c r="H11"/>
  <c r="I10" s="1"/>
  <c r="F10"/>
  <c r="G9" s="1"/>
  <c r="D11"/>
  <c r="E10" s="1"/>
  <c r="U9"/>
  <c r="Q12" l="1"/>
  <c r="T11"/>
  <c r="R12"/>
  <c r="S11" s="1"/>
  <c r="N11"/>
  <c r="O10" s="1"/>
  <c r="M12"/>
  <c r="J11"/>
  <c r="K10" s="1"/>
  <c r="H12"/>
  <c r="I11" s="1"/>
  <c r="F11"/>
  <c r="G10" s="1"/>
  <c r="D12"/>
  <c r="E11" s="1"/>
  <c r="U10"/>
  <c r="Q13" l="1"/>
  <c r="T12"/>
  <c r="R13"/>
  <c r="S12" s="1"/>
  <c r="N12"/>
  <c r="O11" s="1"/>
  <c r="M13"/>
  <c r="J12"/>
  <c r="K11" s="1"/>
  <c r="H13"/>
  <c r="I12" s="1"/>
  <c r="F12"/>
  <c r="G11" s="1"/>
  <c r="D13"/>
  <c r="E12" s="1"/>
  <c r="U11"/>
  <c r="Q14" l="1"/>
  <c r="T13"/>
  <c r="R14"/>
  <c r="S13" s="1"/>
  <c r="N13"/>
  <c r="O12" s="1"/>
  <c r="M14"/>
  <c r="J13"/>
  <c r="K12" s="1"/>
  <c r="H14"/>
  <c r="I13" s="1"/>
  <c r="F13"/>
  <c r="G12" s="1"/>
  <c r="D14"/>
  <c r="E13" s="1"/>
  <c r="U12"/>
  <c r="Q15" l="1"/>
  <c r="T14"/>
  <c r="R15"/>
  <c r="N14"/>
  <c r="O13" s="1"/>
  <c r="M15"/>
  <c r="J14"/>
  <c r="K13" s="1"/>
  <c r="H15"/>
  <c r="I14" s="1"/>
  <c r="F14"/>
  <c r="G13" s="1"/>
  <c r="D15"/>
  <c r="E14" s="1"/>
  <c r="U13"/>
  <c r="Q16" l="1"/>
  <c r="T15"/>
  <c r="R16"/>
  <c r="S15" s="1"/>
  <c r="S14"/>
  <c r="N15"/>
  <c r="O14" s="1"/>
  <c r="M16"/>
  <c r="J15"/>
  <c r="K14" s="1"/>
  <c r="H16"/>
  <c r="I15" s="1"/>
  <c r="F15"/>
  <c r="G14" s="1"/>
  <c r="D16"/>
  <c r="E15" s="1"/>
  <c r="U14"/>
  <c r="Q17" l="1"/>
  <c r="T16"/>
  <c r="R17"/>
  <c r="N16"/>
  <c r="O15" s="1"/>
  <c r="M17"/>
  <c r="J16"/>
  <c r="K15" s="1"/>
  <c r="H17"/>
  <c r="I16" s="1"/>
  <c r="F16"/>
  <c r="G15" s="1"/>
  <c r="D17"/>
  <c r="E16" s="1"/>
  <c r="U15"/>
  <c r="Q18" l="1"/>
  <c r="T17"/>
  <c r="R18"/>
  <c r="S16"/>
  <c r="N17"/>
  <c r="O16" s="1"/>
  <c r="M18"/>
  <c r="J17"/>
  <c r="K16" s="1"/>
  <c r="H18"/>
  <c r="I17" s="1"/>
  <c r="F17"/>
  <c r="G16" s="1"/>
  <c r="D18"/>
  <c r="E17" s="1"/>
  <c r="U16"/>
  <c r="Q19" l="1"/>
  <c r="T18"/>
  <c r="R19"/>
  <c r="S18" s="1"/>
  <c r="S17"/>
  <c r="N18"/>
  <c r="O17" s="1"/>
  <c r="M19"/>
  <c r="J18"/>
  <c r="K17" s="1"/>
  <c r="H19"/>
  <c r="I18" s="1"/>
  <c r="F18"/>
  <c r="G17" s="1"/>
  <c r="D19"/>
  <c r="E18" s="1"/>
  <c r="U17"/>
  <c r="Q20" l="1"/>
  <c r="T19"/>
  <c r="R20"/>
  <c r="S19" s="1"/>
  <c r="N19"/>
  <c r="O18" s="1"/>
  <c r="M20"/>
  <c r="J19"/>
  <c r="K18" s="1"/>
  <c r="H20"/>
  <c r="I19" s="1"/>
  <c r="F19"/>
  <c r="G18" s="1"/>
  <c r="D20"/>
  <c r="E19" s="1"/>
  <c r="U18"/>
  <c r="Q21" l="1"/>
  <c r="T20"/>
  <c r="R21"/>
  <c r="S20" s="1"/>
  <c r="N20"/>
  <c r="O19" s="1"/>
  <c r="M21"/>
  <c r="J20"/>
  <c r="K19" s="1"/>
  <c r="H21"/>
  <c r="I20" s="1"/>
  <c r="F20"/>
  <c r="G19" s="1"/>
  <c r="D21"/>
  <c r="E20" s="1"/>
  <c r="U19"/>
  <c r="T21" l="1"/>
  <c r="R22"/>
  <c r="S21" s="1"/>
  <c r="N21"/>
  <c r="O20" s="1"/>
  <c r="M22"/>
  <c r="J21"/>
  <c r="K20" s="1"/>
  <c r="H22"/>
  <c r="I21" s="1"/>
  <c r="F21"/>
  <c r="G20" s="1"/>
  <c r="D22"/>
  <c r="E21" s="1"/>
  <c r="U20"/>
  <c r="Q22" l="1"/>
  <c r="T22"/>
  <c r="R23"/>
  <c r="S22" s="1"/>
  <c r="N22"/>
  <c r="O21" s="1"/>
  <c r="M23"/>
  <c r="J22"/>
  <c r="K21" s="1"/>
  <c r="H23"/>
  <c r="I22" s="1"/>
  <c r="F22"/>
  <c r="G21" s="1"/>
  <c r="D23"/>
  <c r="E22" s="1"/>
  <c r="U21"/>
  <c r="Q23" l="1"/>
  <c r="T23"/>
  <c r="R24"/>
  <c r="S23" s="1"/>
  <c r="N23"/>
  <c r="O22" s="1"/>
  <c r="M24"/>
  <c r="J23"/>
  <c r="K22" s="1"/>
  <c r="H24"/>
  <c r="I23" s="1"/>
  <c r="F23"/>
  <c r="G22" s="1"/>
  <c r="D24"/>
  <c r="E23" s="1"/>
  <c r="U22"/>
  <c r="Q24" l="1"/>
  <c r="T24"/>
  <c r="R25"/>
  <c r="S24" s="1"/>
  <c r="N24"/>
  <c r="O23" s="1"/>
  <c r="M25"/>
  <c r="J24"/>
  <c r="K23" s="1"/>
  <c r="H25"/>
  <c r="I24" s="1"/>
  <c r="F24"/>
  <c r="G23" s="1"/>
  <c r="D25"/>
  <c r="E24" s="1"/>
  <c r="U23"/>
  <c r="Q25" l="1"/>
  <c r="T25"/>
  <c r="R26"/>
  <c r="S25" s="1"/>
  <c r="N25"/>
  <c r="O24" s="1"/>
  <c r="M26"/>
  <c r="J25"/>
  <c r="K24" s="1"/>
  <c r="H26"/>
  <c r="I25" s="1"/>
  <c r="F25"/>
  <c r="G24" s="1"/>
  <c r="D26"/>
  <c r="E25" s="1"/>
  <c r="U24"/>
  <c r="Q26" l="1"/>
  <c r="T26"/>
  <c r="R27"/>
  <c r="S26" s="1"/>
  <c r="N26"/>
  <c r="O25" s="1"/>
  <c r="M27"/>
  <c r="J26"/>
  <c r="K25" s="1"/>
  <c r="H27"/>
  <c r="I26" s="1"/>
  <c r="F26"/>
  <c r="G25" s="1"/>
  <c r="D27"/>
  <c r="E26" s="1"/>
  <c r="U25"/>
  <c r="Q27" l="1"/>
  <c r="T27"/>
  <c r="R28"/>
  <c r="S27" s="1"/>
  <c r="N27"/>
  <c r="O26" s="1"/>
  <c r="M28"/>
  <c r="J27"/>
  <c r="K26" s="1"/>
  <c r="H28"/>
  <c r="I27" s="1"/>
  <c r="F27"/>
  <c r="G26" s="1"/>
  <c r="D28"/>
  <c r="E27" s="1"/>
  <c r="U26"/>
  <c r="Q28" l="1"/>
  <c r="T28"/>
  <c r="R29"/>
  <c r="S28" s="1"/>
  <c r="N28"/>
  <c r="O27" s="1"/>
  <c r="M29"/>
  <c r="J28"/>
  <c r="K27" s="1"/>
  <c r="H29"/>
  <c r="I28" s="1"/>
  <c r="F28"/>
  <c r="G27" s="1"/>
  <c r="D29"/>
  <c r="E28" s="1"/>
  <c r="U27"/>
  <c r="Q29" l="1"/>
  <c r="T29"/>
  <c r="R30"/>
  <c r="N29"/>
  <c r="O28" s="1"/>
  <c r="M30"/>
  <c r="J29"/>
  <c r="K28" s="1"/>
  <c r="H30"/>
  <c r="I29" s="1"/>
  <c r="F29"/>
  <c r="G28" s="1"/>
  <c r="D30"/>
  <c r="E29" s="1"/>
  <c r="U28"/>
  <c r="Q30" l="1"/>
  <c r="T30"/>
  <c r="R31"/>
  <c r="S30" s="1"/>
  <c r="S29"/>
  <c r="N30"/>
  <c r="O29" s="1"/>
  <c r="M31"/>
  <c r="J30"/>
  <c r="K29" s="1"/>
  <c r="H31"/>
  <c r="I30" s="1"/>
  <c r="F30"/>
  <c r="G29" s="1"/>
  <c r="D31"/>
  <c r="E30" s="1"/>
  <c r="U29"/>
  <c r="Q31" l="1"/>
  <c r="T31"/>
  <c r="R32"/>
  <c r="S31" s="1"/>
  <c r="N31"/>
  <c r="O30" s="1"/>
  <c r="M32"/>
  <c r="J31"/>
  <c r="K30" s="1"/>
  <c r="H32"/>
  <c r="I31" s="1"/>
  <c r="F31"/>
  <c r="G30" s="1"/>
  <c r="D32"/>
  <c r="E31" s="1"/>
  <c r="U30"/>
  <c r="Q32" l="1"/>
  <c r="T32"/>
  <c r="R33"/>
  <c r="N32"/>
  <c r="O31" s="1"/>
  <c r="M33"/>
  <c r="J32"/>
  <c r="K31" s="1"/>
  <c r="H33"/>
  <c r="I32" s="1"/>
  <c r="F32"/>
  <c r="G31" s="1"/>
  <c r="D33"/>
  <c r="E32" s="1"/>
  <c r="U31"/>
  <c r="Q33" l="1"/>
  <c r="T33"/>
  <c r="R34"/>
  <c r="S33" s="1"/>
  <c r="S32"/>
  <c r="N33"/>
  <c r="O32" s="1"/>
  <c r="M34"/>
  <c r="J33"/>
  <c r="K32" s="1"/>
  <c r="H34"/>
  <c r="I33" s="1"/>
  <c r="F33"/>
  <c r="G32" s="1"/>
  <c r="D34"/>
  <c r="E33" s="1"/>
  <c r="U32"/>
  <c r="Q34" l="1"/>
  <c r="T34"/>
  <c r="R35"/>
  <c r="S34" s="1"/>
  <c r="N34"/>
  <c r="O33" s="1"/>
  <c r="M35"/>
  <c r="J34"/>
  <c r="K33" s="1"/>
  <c r="H35"/>
  <c r="I34" s="1"/>
  <c r="F34"/>
  <c r="G33" s="1"/>
  <c r="D35"/>
  <c r="E34" s="1"/>
  <c r="U33"/>
  <c r="Q35" l="1"/>
  <c r="T35"/>
  <c r="R36"/>
  <c r="S35" s="1"/>
  <c r="N35"/>
  <c r="O34" s="1"/>
  <c r="M36"/>
  <c r="J35"/>
  <c r="K34" s="1"/>
  <c r="H36"/>
  <c r="I35" s="1"/>
  <c r="F35"/>
  <c r="G34" s="1"/>
  <c r="D36"/>
  <c r="E35" s="1"/>
  <c r="U34"/>
  <c r="Q36" l="1"/>
  <c r="T36"/>
  <c r="R37"/>
  <c r="S36" s="1"/>
  <c r="N36"/>
  <c r="O35" s="1"/>
  <c r="M37"/>
  <c r="J36"/>
  <c r="K35" s="1"/>
  <c r="H37"/>
  <c r="I36" s="1"/>
  <c r="F36"/>
  <c r="G35" s="1"/>
  <c r="D37"/>
  <c r="E36" s="1"/>
  <c r="U35"/>
  <c r="Q37" l="1"/>
  <c r="T37"/>
  <c r="R38"/>
  <c r="S37" s="1"/>
  <c r="N37"/>
  <c r="O36" s="1"/>
  <c r="M38"/>
  <c r="J37"/>
  <c r="K36" s="1"/>
  <c r="H38"/>
  <c r="I37" s="1"/>
  <c r="F37"/>
  <c r="G36" s="1"/>
  <c r="D38"/>
  <c r="E37" s="1"/>
  <c r="U36"/>
  <c r="Q38" l="1"/>
  <c r="T38"/>
  <c r="R39"/>
  <c r="S38" s="1"/>
  <c r="N38"/>
  <c r="O37" s="1"/>
  <c r="M39"/>
  <c r="J38"/>
  <c r="K37" s="1"/>
  <c r="H39"/>
  <c r="I38" s="1"/>
  <c r="F38"/>
  <c r="G37" s="1"/>
  <c r="D39"/>
  <c r="E38" s="1"/>
  <c r="U37"/>
  <c r="Q39" l="1"/>
  <c r="T39"/>
  <c r="R40"/>
  <c r="S39" s="1"/>
  <c r="N39"/>
  <c r="O38" s="1"/>
  <c r="M40"/>
  <c r="J39"/>
  <c r="K38" s="1"/>
  <c r="H40"/>
  <c r="I39" s="1"/>
  <c r="F39"/>
  <c r="G38" s="1"/>
  <c r="D40"/>
  <c r="E39" s="1"/>
  <c r="U38"/>
  <c r="Q40" l="1"/>
  <c r="T40"/>
  <c r="R41"/>
  <c r="S40" s="1"/>
  <c r="N40"/>
  <c r="O39" s="1"/>
  <c r="M41"/>
  <c r="J40"/>
  <c r="K39" s="1"/>
  <c r="H41"/>
  <c r="I40" s="1"/>
  <c r="F40"/>
  <c r="G39" s="1"/>
  <c r="D41"/>
  <c r="E40" s="1"/>
  <c r="U39"/>
  <c r="Q41" l="1"/>
  <c r="T41"/>
  <c r="R42"/>
  <c r="S41" s="1"/>
  <c r="N41"/>
  <c r="O40" s="1"/>
  <c r="M42"/>
  <c r="J41"/>
  <c r="K40" s="1"/>
  <c r="H42"/>
  <c r="I41" s="1"/>
  <c r="F41"/>
  <c r="G40" s="1"/>
  <c r="D42"/>
  <c r="E41" s="1"/>
  <c r="U40"/>
  <c r="Q44" l="1"/>
  <c r="Q42"/>
  <c r="T42"/>
  <c r="R43"/>
  <c r="S42" s="1"/>
  <c r="N42"/>
  <c r="O41" s="1"/>
  <c r="M43"/>
  <c r="M44"/>
  <c r="J42"/>
  <c r="K41" s="1"/>
  <c r="H43"/>
  <c r="I42" s="1"/>
  <c r="F42"/>
  <c r="G41" s="1"/>
  <c r="D43"/>
  <c r="E42" s="1"/>
  <c r="U41"/>
  <c r="Q43" l="1"/>
  <c r="T43"/>
  <c r="R44"/>
  <c r="S44" s="1"/>
  <c r="N43"/>
  <c r="O42" s="1"/>
  <c r="J43"/>
  <c r="K42" s="1"/>
  <c r="H44"/>
  <c r="I44" s="1"/>
  <c r="F43"/>
  <c r="G42" s="1"/>
  <c r="D44"/>
  <c r="E44" s="1"/>
  <c r="U42"/>
  <c r="S43" l="1"/>
  <c r="T44"/>
  <c r="N44"/>
  <c r="O44" s="1"/>
  <c r="J44"/>
  <c r="K44" s="1"/>
  <c r="I43"/>
  <c r="F44"/>
  <c r="G44" s="1"/>
  <c r="E43"/>
  <c r="U44"/>
  <c r="O43" l="1"/>
  <c r="K43"/>
  <c r="G43"/>
  <c r="U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Edge 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Edge Label Font Size
</t>
        </r>
        <r>
          <rPr>
            <sz val="8"/>
            <color indexed="81"/>
            <rFont val="Tahoma"/>
            <family val="2"/>
          </rPr>
          <t>Enter an optional label font size between 8 and 72.</t>
        </r>
        <r>
          <rPr>
            <b/>
            <sz val="8"/>
            <color indexed="81"/>
            <rFont val="Tahoma"/>
            <family val="2"/>
          </rPr>
          <t xml:space="preserve">
</t>
        </r>
      </text>
    </comment>
    <comment ref="K2" authorId="1">
      <text>
        <r>
          <rPr>
            <b/>
            <sz val="8"/>
            <color indexed="81"/>
            <rFont val="Tahoma"/>
            <family val="2"/>
          </rPr>
          <t xml:space="preserve">Edge Reciprocated?
</t>
        </r>
        <r>
          <rPr>
            <sz val="8"/>
            <color indexed="81"/>
            <rFont val="Tahoma"/>
            <family val="2"/>
          </rPr>
          <t xml:space="preserve">
You can tell NodeXL to calculate this and other graph metrics by going to NodeXL, Analysis, Graph Metrics in the Ribbon.</t>
        </r>
        <r>
          <rPr>
            <sz val="9"/>
            <color indexed="81"/>
            <rFont val="Tahoma"/>
            <charset val="1"/>
          </rPr>
          <t xml:space="preserve">
</t>
        </r>
      </text>
    </comment>
    <comment ref="L2" authorId="0">
      <text>
        <r>
          <rPr>
            <b/>
            <sz val="8"/>
            <color indexed="81"/>
            <rFont val="Tahoma"/>
            <family val="2"/>
          </rPr>
          <t xml:space="preserve">Edge ID
</t>
        </r>
        <r>
          <rPr>
            <sz val="8"/>
            <color indexed="81"/>
            <rFont val="Tahoma"/>
            <family val="2"/>
          </rPr>
          <t>This is a unique ID that gets filled in automatically.  Do not edit this column.</t>
        </r>
      </text>
    </comment>
    <comment ref="N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Tony</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Isolated Vertices</t>
        </r>
        <r>
          <rPr>
            <sz val="8"/>
            <color indexed="81"/>
            <rFont val="Tahoma"/>
            <family val="2"/>
          </rPr>
          <t xml:space="preserve">
To add an isolated vertex that is not connected to any edges, enter it on this worksheet and set its Visibility cell to "Show."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C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D2" authorId="0">
      <text>
        <r>
          <rPr>
            <b/>
            <sz val="8"/>
            <color indexed="81"/>
            <rFont val="Tahoma"/>
            <family val="2"/>
          </rPr>
          <t xml:space="preserve">Vertex Size
</t>
        </r>
        <r>
          <rPr>
            <sz val="8"/>
            <color indexed="81"/>
            <rFont val="Tahoma"/>
            <family val="2"/>
          </rPr>
          <t xml:space="preserve">
Enter an optional vertex size between 1 and 100.</t>
        </r>
      </text>
    </comment>
    <comment ref="E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F2" authorId="0">
      <text>
        <r>
          <rPr>
            <b/>
            <sz val="8"/>
            <color indexed="81"/>
            <rFont val="Tahoma"/>
            <family val="2"/>
          </rPr>
          <t>Vertex 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G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I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K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L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when a geometric layout algorithm (Circle, Spiral and so on) is used.  This also controls the vertex stacking order when vertices overlap.  Vertices with larger numbers are stacked on top of vertices with smaller numbers.
</t>
        </r>
      </text>
    </comment>
    <comment ref="M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N2" authorId="0">
      <text>
        <r>
          <rPr>
            <b/>
            <sz val="8"/>
            <color indexed="81"/>
            <rFont val="Tahoma"/>
            <family val="2"/>
          </rPr>
          <t xml:space="preserve">Vertex Location
</t>
        </r>
        <r>
          <rPr>
            <sz val="8"/>
            <color indexed="81"/>
            <rFont val="Tahoma"/>
            <family val="2"/>
          </rPr>
          <t xml:space="preserve">
Enter an optional vertex location.
X and Y values should be between 0 and 9,999.  If you enter X and Y values, you should set NodeXL, Graph, Layout to "None" to prevent NodeXL from overwriting your values when you show the graph.</t>
        </r>
      </text>
    </comment>
    <comment ref="O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Q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R2" authorId="0">
      <text>
        <r>
          <rPr>
            <b/>
            <sz val="8"/>
            <color indexed="81"/>
            <rFont val="Tahoma"/>
            <family val="2"/>
          </rPr>
          <t>Vertex Degree</t>
        </r>
        <r>
          <rPr>
            <sz val="8"/>
            <color indexed="81"/>
            <rFont val="Tahoma"/>
            <family val="2"/>
          </rPr>
          <t xml:space="preserve">
You can tell NodeXL to calculate this and other graph metrics by going to NodeXL, Analysis, Graph Metrics in the Ribbon.
</t>
        </r>
      </text>
    </comment>
    <comment ref="S2" authorId="0">
      <text>
        <r>
          <rPr>
            <b/>
            <sz val="8"/>
            <color indexed="81"/>
            <rFont val="Tahoma"/>
            <family val="2"/>
          </rPr>
          <t xml:space="preserve">Vertex In-Degree
</t>
        </r>
        <r>
          <rPr>
            <sz val="8"/>
            <color indexed="81"/>
            <rFont val="Tahoma"/>
            <family val="2"/>
          </rPr>
          <t xml:space="preserve">You can tell NodeXL to calculate this and other graph metrics by going to NodeXL, Analysis, Graph Metrics in the Ribbon.
</t>
        </r>
      </text>
    </comment>
    <comment ref="T2" authorId="0">
      <text>
        <r>
          <rPr>
            <b/>
            <sz val="8"/>
            <color indexed="81"/>
            <rFont val="Tahoma"/>
            <family val="2"/>
          </rPr>
          <t xml:space="preserve">Vertex Out-Degree
</t>
        </r>
        <r>
          <rPr>
            <sz val="8"/>
            <color indexed="81"/>
            <rFont val="Tahoma"/>
            <family val="2"/>
          </rPr>
          <t xml:space="preserve">You can tell NodeXL to calculate this and other graph metrics by going to NodeXL, Analysis, Graph Metrics in the Ribbon.
</t>
        </r>
      </text>
    </comment>
    <comment ref="U2" authorId="0">
      <text>
        <r>
          <rPr>
            <b/>
            <sz val="8"/>
            <color indexed="81"/>
            <rFont val="Tahoma"/>
            <family val="2"/>
          </rPr>
          <t xml:space="preserve">Vertex Betweenness Centrality
</t>
        </r>
        <r>
          <rPr>
            <sz val="8"/>
            <color indexed="81"/>
            <rFont val="Tahoma"/>
            <family val="2"/>
          </rPr>
          <t xml:space="preserve">You can tell NodeXL to calculate this and other graph metrics by going to NodeXL, Analysis, Graph Metrics in the Ribbon.
</t>
        </r>
      </text>
    </comment>
    <comment ref="V2" authorId="0">
      <text>
        <r>
          <rPr>
            <b/>
            <sz val="8"/>
            <color indexed="81"/>
            <rFont val="Tahoma"/>
            <family val="2"/>
          </rPr>
          <t xml:space="preserve">Vertex Closeness Centrality
</t>
        </r>
        <r>
          <rPr>
            <sz val="8"/>
            <color indexed="81"/>
            <rFont val="Tahoma"/>
            <family val="2"/>
          </rPr>
          <t xml:space="preserve">You can tell NodeXL to calculate this and other graph metrics by going to NodeXL, Analysis, Graph Metrics in the Ribbon.
</t>
        </r>
      </text>
    </comment>
    <comment ref="W2" authorId="0">
      <text>
        <r>
          <rPr>
            <b/>
            <sz val="8"/>
            <color indexed="81"/>
            <rFont val="Tahoma"/>
            <family val="2"/>
          </rPr>
          <t xml:space="preserve">Vertex Eigenvector Centrality
</t>
        </r>
        <r>
          <rPr>
            <sz val="8"/>
            <color indexed="81"/>
            <rFont val="Tahoma"/>
            <family val="2"/>
          </rPr>
          <t xml:space="preserve">You can tell NodeXL to calculate this and other graph metrics by going to NodeXL, Analysis, Graph Metrics in the Ribbon.
</t>
        </r>
      </text>
    </comment>
    <comment ref="X2" authorId="2">
      <text>
        <r>
          <rPr>
            <b/>
            <sz val="8"/>
            <color indexed="81"/>
            <rFont val="Tahoma"/>
            <family val="2"/>
          </rPr>
          <t xml:space="preserve">Vertex PageRank
</t>
        </r>
        <r>
          <rPr>
            <sz val="8"/>
            <color indexed="81"/>
            <rFont val="Tahoma"/>
            <family val="2"/>
          </rPr>
          <t>You can tell NodeXL to calculate this and other graph metrics by going to NodeXL, Analysis, Graph Metrics in the Ribbon.</t>
        </r>
      </text>
    </comment>
    <comment ref="Y2" authorId="0">
      <text>
        <r>
          <rPr>
            <b/>
            <sz val="8"/>
            <color indexed="81"/>
            <rFont val="Tahoma"/>
            <family val="2"/>
          </rPr>
          <t xml:space="preserve">Vertex Clustering Coefficient
</t>
        </r>
        <r>
          <rPr>
            <sz val="8"/>
            <color indexed="81"/>
            <rFont val="Tahoma"/>
            <family val="2"/>
          </rPr>
          <t xml:space="preserve">You can tell NodeXL to calculate this and other graph metrics by going to NodeXL, Analysis, Graph Metrics in the Ribbon.
</t>
        </r>
      </text>
    </comment>
    <comment ref="Z2" authorId="2">
      <text>
        <r>
          <rPr>
            <b/>
            <sz val="8"/>
            <color indexed="81"/>
            <rFont val="Tahoma"/>
            <family val="2"/>
          </rPr>
          <t>Vertex Reciprocated Pair Ratio</t>
        </r>
        <r>
          <rPr>
            <sz val="8"/>
            <color indexed="81"/>
            <rFont val="Tahoma"/>
            <family val="2"/>
          </rPr>
          <t xml:space="preserve">
You can tell NodeXL to calculate this and other graph metrics by going to NodeXL, Analysis, Graph Metrics in the Ribbon.</t>
        </r>
      </text>
    </comment>
    <comment ref="AA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C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2" authorId="0">
      <text>
        <r>
          <rPr>
            <b/>
            <sz val="8"/>
            <color indexed="81"/>
            <rFont val="Tahoma"/>
            <family val="2"/>
          </rPr>
          <t xml:space="preserve">Group 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Group 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Group Visibility</t>
        </r>
        <r>
          <rPr>
            <sz val="8"/>
            <color indexed="81"/>
            <rFont val="Tahoma"/>
            <family val="2"/>
          </rPr>
          <t xml:space="preserve">
Select an optional group visibility.
</t>
        </r>
        <r>
          <rPr>
            <b/>
            <sz val="8"/>
            <color indexed="81"/>
            <rFont val="Tahoma"/>
            <family val="2"/>
          </rPr>
          <t>Show</t>
        </r>
        <r>
          <rPr>
            <sz val="8"/>
            <color indexed="81"/>
            <rFont val="Tahoma"/>
            <family val="2"/>
          </rPr>
          <t xml:space="preserve">
Show the group's vertices and edges when the graph is refreshed.  This is the default.
</t>
        </r>
        <r>
          <rPr>
            <b/>
            <sz val="8"/>
            <color indexed="81"/>
            <rFont val="Tahoma"/>
            <family val="2"/>
          </rPr>
          <t>Skip</t>
        </r>
        <r>
          <rPr>
            <sz val="8"/>
            <color indexed="81"/>
            <rFont val="Tahoma"/>
            <family val="2"/>
          </rPr>
          <t xml:space="preserve">
Skip the group's vertices and edges.
</t>
        </r>
        <r>
          <rPr>
            <b/>
            <sz val="8"/>
            <color indexed="81"/>
            <rFont val="Tahoma"/>
            <family val="2"/>
          </rPr>
          <t>Hide</t>
        </r>
        <r>
          <rPr>
            <sz val="8"/>
            <color indexed="81"/>
            <rFont val="Tahoma"/>
            <family val="2"/>
          </rPr>
          <t xml:space="preserve">
Use the group's vertices and edges when laying out the graph, but then hide the group's vertices and edges.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E2" authorId="1">
      <text>
        <r>
          <rPr>
            <b/>
            <sz val="8"/>
            <color indexed="81"/>
            <rFont val="Tahoma"/>
            <family val="2"/>
          </rPr>
          <t xml:space="preserve">Group 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 ref="F2" authorId="1">
      <text>
        <r>
          <rPr>
            <b/>
            <sz val="8"/>
            <color indexed="81"/>
            <rFont val="Tahoma"/>
            <family val="2"/>
          </rPr>
          <t>Group Label</t>
        </r>
        <r>
          <rPr>
            <sz val="8"/>
            <color indexed="81"/>
            <rFont val="Tahoma"/>
            <family val="2"/>
          </rPr>
          <t xml:space="preserve">
Enter an optional group label.
Group labels are used when you choose to lay out each of the graph's groups in its own box (NodeXL, Graph, Layout, Layout Options), and when you collapse a group (NodeXL, Analysis, Groups, Collapse Selected Groups).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r>
          <rPr>
            <sz val="9"/>
            <color indexed="81"/>
            <rFont val="Tahoma"/>
            <charset val="1"/>
          </rPr>
          <t xml:space="preserve">
</t>
        </r>
      </text>
    </comment>
    <comment ref="G2" authorId="1">
      <text>
        <r>
          <rPr>
            <b/>
            <sz val="8"/>
            <color indexed="81"/>
            <rFont val="Tahoma"/>
            <family val="2"/>
          </rPr>
          <t xml:space="preserve">Collapsed Location
</t>
        </r>
        <r>
          <rPr>
            <sz val="8"/>
            <color indexed="81"/>
            <rFont val="Tahoma"/>
            <family val="2"/>
          </rPr>
          <t xml:space="preserve">
(In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H2" authorId="1">
      <text>
        <r>
          <rPr>
            <b/>
            <sz val="8"/>
            <color indexed="81"/>
            <rFont val="Tahoma"/>
            <family val="2"/>
          </rPr>
          <t xml:space="preserve">Collapsed Location
</t>
        </r>
        <r>
          <rPr>
            <sz val="8"/>
            <color indexed="81"/>
            <rFont val="Tahoma"/>
            <family val="2"/>
          </rPr>
          <t>(In most cases, you should not edit this worksheet.  Instead, use the items on the NodeXL, Analysis, Groups menu to create and work with groups.)
Enter an optional location for the group when it is collapsed.
Collapsed X and Collapsed Y values should be between 0 and 9,999.  If you enter Collapsed X and Collapsed Y values, you should set NodeXL, Graph, Layout to "None" to prevent NodeXL from overwriting your values when you show the graph.</t>
        </r>
      </text>
    </comment>
    <comment ref="K2" authorId="1">
      <text>
        <r>
          <rPr>
            <b/>
            <sz val="8"/>
            <color indexed="81"/>
            <rFont val="Tahoma"/>
            <family val="2"/>
          </rPr>
          <t xml:space="preserve">Group Vertices
</t>
        </r>
        <r>
          <rPr>
            <sz val="8"/>
            <color indexed="81"/>
            <rFont val="Tahoma"/>
            <family val="2"/>
          </rPr>
          <t xml:space="preserve">
You can tell NodeXL to calculate this and other graph metrics by going to NodeXL, Analysis, Graph Metrics in the Ribbon.</t>
        </r>
        <r>
          <rPr>
            <b/>
            <sz val="9"/>
            <color indexed="81"/>
            <rFont val="Tahoma"/>
            <charset val="1"/>
          </rPr>
          <t xml:space="preserve">
</t>
        </r>
        <r>
          <rPr>
            <sz val="9"/>
            <color indexed="81"/>
            <rFont val="Tahoma"/>
            <charset val="1"/>
          </rPr>
          <t xml:space="preserve">
</t>
        </r>
      </text>
    </comment>
    <comment ref="L2" authorId="1">
      <text>
        <r>
          <rPr>
            <b/>
            <sz val="8"/>
            <color indexed="81"/>
            <rFont val="Tahoma"/>
            <family val="2"/>
          </rPr>
          <t>Group Unique Edges</t>
        </r>
        <r>
          <rPr>
            <sz val="8"/>
            <color indexed="81"/>
            <rFont val="Tahoma"/>
            <family val="2"/>
          </rPr>
          <t xml:space="preserve">
You can tell NodeXL to calculate this and other graph metrics by going to NodeXL, Analysis, Graph Metrics in the Ribbon.</t>
        </r>
      </text>
    </comment>
    <comment ref="M2" authorId="1">
      <text>
        <r>
          <rPr>
            <b/>
            <sz val="8"/>
            <color indexed="81"/>
            <rFont val="Tahoma"/>
            <family val="2"/>
          </rPr>
          <t>Group Edges With Duplicates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N2" authorId="1">
      <text>
        <r>
          <rPr>
            <b/>
            <sz val="8"/>
            <color indexed="81"/>
            <rFont val="Tahoma"/>
            <family val="2"/>
          </rPr>
          <t>Group Total Edges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O2" authorId="1">
      <text>
        <r>
          <rPr>
            <b/>
            <sz val="8"/>
            <color indexed="81"/>
            <rFont val="Tahoma"/>
            <family val="2"/>
          </rPr>
          <t>Group Self-Loops</t>
        </r>
        <r>
          <rPr>
            <sz val="8"/>
            <color indexed="81"/>
            <rFont val="Tahoma"/>
            <family val="2"/>
          </rPr>
          <t xml:space="preserve">
You can tell NodeXL to calculate this and other graph metrics by going to NodeXL, Analysis, Graph Metrics in the Ribbon.</t>
        </r>
        <r>
          <rPr>
            <sz val="9"/>
            <color indexed="81"/>
            <rFont val="Tahoma"/>
            <family val="2"/>
          </rPr>
          <t xml:space="preserve">
</t>
        </r>
      </text>
    </comment>
    <comment ref="P2" authorId="1">
      <text>
        <r>
          <rPr>
            <b/>
            <sz val="8"/>
            <color indexed="81"/>
            <rFont val="Tahoma"/>
            <family val="2"/>
          </rPr>
          <t xml:space="preserve">Group Reciprocated Vertex Pair Ratio
</t>
        </r>
        <r>
          <rPr>
            <sz val="8"/>
            <color indexed="81"/>
            <rFont val="Tahoma"/>
            <family val="2"/>
          </rPr>
          <t>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Q2" authorId="1">
      <text>
        <r>
          <rPr>
            <b/>
            <sz val="8"/>
            <color indexed="81"/>
            <rFont val="Tahoma"/>
            <family val="2"/>
          </rPr>
          <t xml:space="preserve">Group Reciprocated Edge Ratio
</t>
        </r>
        <r>
          <rPr>
            <sz val="8"/>
            <color indexed="81"/>
            <rFont val="Tahoma"/>
            <family val="2"/>
          </rPr>
          <t>You can tell NodeXL to calculate this and other graph metrics by going to NodeXL, Analysis, Graph Metrics in the Ribbon.</t>
        </r>
      </text>
    </comment>
    <comment ref="R2" authorId="1">
      <text>
        <r>
          <rPr>
            <b/>
            <sz val="8"/>
            <color indexed="81"/>
            <rFont val="Tahoma"/>
            <family val="2"/>
          </rPr>
          <t>Group Connected Components</t>
        </r>
        <r>
          <rPr>
            <sz val="8"/>
            <color indexed="81"/>
            <rFont val="Tahoma"/>
            <family val="2"/>
          </rPr>
          <t xml:space="preserve">
You can tell NodeXL to calculate this and other graph metrics by going to NodeXL, Analysis, Graph Metrics in the Ribbon.</t>
        </r>
        <r>
          <rPr>
            <b/>
            <sz val="8"/>
            <color indexed="81"/>
            <rFont val="Tahoma"/>
            <family val="2"/>
          </rPr>
          <t xml:space="preserve">
</t>
        </r>
      </text>
    </comment>
    <comment ref="S2" authorId="1">
      <text>
        <r>
          <rPr>
            <b/>
            <sz val="8"/>
            <color indexed="81"/>
            <rFont val="Tahoma"/>
            <family val="2"/>
          </rPr>
          <t>Group Single-Vertex Connected Components</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r>
          <rPr>
            <sz val="9"/>
            <color indexed="81"/>
            <rFont val="Tahoma"/>
            <family val="2"/>
          </rPr>
          <t xml:space="preserve">
</t>
        </r>
      </text>
    </comment>
    <comment ref="T2" authorId="1">
      <text>
        <r>
          <rPr>
            <b/>
            <sz val="8"/>
            <color indexed="81"/>
            <rFont val="Tahoma"/>
            <family val="2"/>
          </rPr>
          <t>Group Maximum Vertices in a Connected Component</t>
        </r>
        <r>
          <rPr>
            <sz val="8"/>
            <color indexed="81"/>
            <rFont val="Tahoma"/>
            <family val="2"/>
          </rPr>
          <t xml:space="preserve">
You can tell NodeXL to calculate this and other graph metrics by going to NodeXL, Analysis, Graph Metrics in the Ribbon.
</t>
        </r>
        <r>
          <rPr>
            <sz val="9"/>
            <color indexed="81"/>
            <rFont val="Tahoma"/>
            <family val="2"/>
          </rPr>
          <t xml:space="preserve">
</t>
        </r>
      </text>
    </comment>
    <comment ref="U2" authorId="1">
      <text>
        <r>
          <rPr>
            <b/>
            <sz val="8"/>
            <color indexed="81"/>
            <rFont val="Tahoma"/>
            <family val="2"/>
          </rPr>
          <t>Group Maximum Edges in a Connected Component</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 ref="V2" authorId="1">
      <text>
        <r>
          <rPr>
            <b/>
            <sz val="8"/>
            <color indexed="81"/>
            <rFont val="Tahoma"/>
            <family val="2"/>
          </rPr>
          <t>Group Maximum Geodesic Distance (Diameter)</t>
        </r>
        <r>
          <rPr>
            <sz val="8"/>
            <color indexed="81"/>
            <rFont val="Tahoma"/>
            <family val="2"/>
          </rPr>
          <t xml:space="preserve">
You can tell NodeXL to calculate this and other graph metrics by going to NodeXL, Analysis, Graph Metrics in the Ribbon.</t>
        </r>
      </text>
    </comment>
    <comment ref="W2" authorId="1">
      <text>
        <r>
          <rPr>
            <b/>
            <sz val="8"/>
            <color indexed="81"/>
            <rFont val="Tahoma"/>
            <family val="2"/>
          </rPr>
          <t>Group Average Geodesic Distance</t>
        </r>
        <r>
          <rPr>
            <sz val="8"/>
            <color indexed="81"/>
            <rFont val="Tahoma"/>
            <family val="2"/>
          </rPr>
          <t xml:space="preserve">
You can tell NodeXL to calculate this and other graph metrics by going to NodeXL, Analysis, Graph Metrics in the Ribbon.</t>
        </r>
      </text>
    </comment>
    <comment ref="X2" authorId="1">
      <text>
        <r>
          <rPr>
            <b/>
            <sz val="8"/>
            <color indexed="81"/>
            <rFont val="Tahoma"/>
            <family val="2"/>
          </rPr>
          <t>Group Graph Density</t>
        </r>
        <r>
          <rPr>
            <sz val="8"/>
            <color indexed="81"/>
            <rFont val="Tahoma"/>
            <family val="2"/>
          </rPr>
          <t xml:space="preserve">
You can tell NodeXL to calculate this and other graph metrics by going to NodeXL, Analysis, Graph Metrics in the Ribbon.</t>
        </r>
        <r>
          <rPr>
            <b/>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usually indicated by vertex color and shape when the graph is refreshed.  All the vertices in one group might be blue disks, for example.
You can control how groups are shown using NodeXL, Analysis, Groups, Group Options.</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<sst xmlns="http://schemas.openxmlformats.org/spreadsheetml/2006/main" count="215" uniqueCount="173">
  <si>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</si>
  <si>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</si>
  <si>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</si>
  <si>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</si>
  <si>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</si>
  <si>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</si>
  <si>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</si>
  <si>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</si>
  <si>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</si>
  <si>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</si>
  <si>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</si>
  <si>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</si>
  <si>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</si>
  <si>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</si>
  <si>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</si>
  <si>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</si>
  <si>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</si>
  <si>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</si>
  <si>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</si>
  <si>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</si>
  <si>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</si>
  <si>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</si>
  <si>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</si>
  <si>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</si>
  <si>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</si>
  <si>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</si>
  <si>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</si>
  <si>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</si>
  <si>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</si>
  <si>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</si>
  <si>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Graph Directedness</t>
  </si>
  <si>
    <t>Undirected</t>
  </si>
  <si>
    <t>Degree</t>
  </si>
  <si>
    <t>In-Degree</t>
  </si>
  <si>
    <t>Out-Degree</t>
  </si>
  <si>
    <t>Betweenness Centrality</t>
  </si>
  <si>
    <t>Closeness Centrality</t>
  </si>
  <si>
    <t>Eigenvector Centrality</t>
  </si>
  <si>
    <t>Clustering Coefficient</t>
  </si>
  <si>
    <t>Dynamic Filter</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</si>
  <si>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</si>
  <si>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</si>
  <si>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</si>
  <si>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</si>
  <si>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</si>
  <si>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</si>
  <si>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</si>
  <si>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</si>
  <si>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</si>
  <si>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</si>
  <si>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</si>
  <si>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</si>
  <si>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</si>
  <si>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</si>
  <si>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</si>
  <si>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</si>
  <si>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</si>
  <si>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</si>
  <si>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</si>
  <si>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</si>
  <si>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</si>
  <si>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</si>
  <si>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</si>
  <si>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</si>
  <si>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</si>
  <si>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</si>
  <si>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</si>
  <si>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</si>
  <si>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</si>
  <si>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</si>
  <si>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</si>
  <si>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</si>
  <si>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</si>
  <si>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</si>
  <si>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</si>
  <si>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</si>
  <si>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</si>
  <si>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</si>
  <si>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</si>
  <si>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</si>
  <si>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</si>
  <si>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</si>
  <si>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</si>
  <si>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</si>
  <si>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</si>
  <si>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</si>
  <si>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</si>
  <si>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</si>
  <si>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</si>
  <si>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</si>
  <si>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</si>
  <si>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</si>
  <si>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</si>
  <si>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</si>
  <si>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</si>
  <si>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</si>
  <si>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</si>
  <si>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</si>
  <si>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</si>
  <si>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</si>
  <si>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</si>
  <si>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</si>
  <si>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</si>
  <si>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</si>
  <si>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</si>
  <si>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</si>
  <si>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</si>
  <si>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</si>
  <si>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</si>
  <si>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</si>
  <si>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</si>
  <si>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</si>
  <si>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</si>
  <si>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</si>
  <si>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</si>
  <si>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</si>
  <si>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</si>
  <si>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</si>
  <si>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</si>
  <si>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</si>
  <si>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</si>
  <si>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</si>
  <si>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</si>
  <si>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</si>
  <si>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</si>
  <si>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</si>
  <si>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</si>
  <si>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</si>
  <si>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</si>
  <si>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</si>
  <si>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</si>
  <si>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</si>
  <si>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</si>
  <si>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</si>
  <si>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</si>
  <si>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</si>
  <si>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</si>
  <si>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</si>
  <si>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</si>
  <si>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</si>
  <si>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</si>
  <si>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</si>
  <si>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</si>
  <si>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</si>
  <si>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</si>
  <si>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</si>
  <si>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</si>
  <si>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</si>
  <si>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</si>
  <si>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</si>
  <si>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</si>
  <si>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</si>
  <si>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</si>
  <si>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</si>
  <si>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</si>
  <si>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</si>
  <si>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</si>
  <si>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</si>
  <si>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</si>
  <si>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</si>
  <si>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Nowhere</t>
  </si>
  <si>
    <t>Label Text Color</t>
  </si>
  <si>
    <t>Label Font Size</t>
  </si>
  <si>
    <t>Graph Metric</t>
  </si>
  <si>
    <t>Readability Metric</t>
  </si>
  <si>
    <t>Valid Group Shapes</t>
  </si>
  <si>
    <t>Reciprocated?</t>
  </si>
  <si>
    <t>Collapsed Properties</t>
  </si>
  <si>
    <t>Collapsed X</t>
  </si>
  <si>
    <t>Collapsed Y</t>
  </si>
  <si>
    <t>Valid Group Visibilities</t>
  </si>
  <si>
    <t>Reciprocated Vertex Pair Ratio</t>
  </si>
  <si>
    <t>Reciprocated Edge Ratio</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</si>
</sst>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13">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9"/>
      <color indexed="81"/>
      <name val="Tahoma"/>
      <family val="2"/>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11">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0" fillId="0" borderId="0" xfId="2"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6" fillId="6" borderId="1" xfId="6" applyNumberFormat="1"/>
    <xf numFmtId="0" fontId="5" fillId="4" borderId="1" xfId="5" applyNumberFormat="1" applyAlignment="1">
      <alignment wrapText="1"/>
    </xf>
    <xf numFmtId="0" fontId="0" fillId="5" borderId="8" xfId="4" applyNumberFormat="1" applyFont="1" applyBorder="1"/>
    <xf numFmtId="0" fontId="0" fillId="5" borderId="9" xfId="4" applyNumberFormat="1" applyFont="1" applyBorder="1"/>
    <xf numFmtId="0" fontId="0" fillId="5" borderId="10" xfId="4" applyNumberFormat="1" applyFont="1" applyBorder="1"/>
    <xf numFmtId="0" fontId="0" fillId="3" borderId="8" xfId="7" applyNumberFormat="1" applyFont="1" applyBorder="1"/>
    <xf numFmtId="0" fontId="6" fillId="3" borderId="10" xfId="7" applyNumberFormat="1" applyFont="1" applyBorder="1"/>
    <xf numFmtId="0" fontId="5" fillId="2" borderId="8" xfId="1" applyNumberFormat="1" applyBorder="1"/>
    <xf numFmtId="0" fontId="5" fillId="2" borderId="10" xfId="1" applyNumberFormat="1" applyBorder="1"/>
    <xf numFmtId="0" fontId="5" fillId="4" borderId="8" xfId="5" applyNumberFormat="1" applyBorder="1"/>
    <xf numFmtId="0" fontId="5" fillId="4" borderId="9" xfId="5" applyNumberFormat="1" applyBorder="1"/>
    <xf numFmtId="0" fontId="0" fillId="3" borderId="1" xfId="7" applyNumberFormat="1" applyFon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97">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0" formatCode="General"/>
    </dxf>
    <dxf>
      <font>
        <b val="0"/>
        <i val="0"/>
        <strike val="0"/>
        <condense val="0"/>
        <extend val="0"/>
        <outline val="0"/>
        <shadow val="0"/>
        <u val="none"/>
        <vertAlign val="baseline"/>
        <sz val="11"/>
        <color theme="1"/>
        <name val="Calibri"/>
        <scheme val="minor"/>
      </font>
      <numFmt numFmtId="0" formatCode="General"/>
    </dxf>
    <dxf>
      <numFmt numFmtId="30" formatCode="@"/>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font>
        <b val="0"/>
        <i val="0"/>
        <strike val="0"/>
        <condense val="0"/>
        <extend val="0"/>
        <outline val="0"/>
        <shadow val="0"/>
        <u val="none"/>
        <vertAlign val="baseline"/>
        <sz val="11"/>
        <color theme="1"/>
        <name val="Calibri"/>
        <scheme val="minor"/>
      </font>
      <numFmt numFmtId="1" formatCode="0"/>
      <alignment horizontal="general" vertical="bottom" textRotation="0" wrapText="0" indent="0" relativeIndent="0" justifyLastLine="0" shrinkToFit="0" mergeCell="0" readingOrder="0"/>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0" justifyLastLine="0" shrinkToFit="0" mergeCell="0" readingOrder="0"/>
    </dxf>
    <dxf>
      <numFmt numFmtId="0" formatCode="General"/>
      <alignment horizontal="general" vertical="bottom" textRotation="0" wrapText="1" indent="0" relativeIndent="0" justifyLastLine="0" shrinkToFit="0" mergeCell="0" readingOrder="0"/>
    </dxf>
    <dxf>
      <numFmt numFmtId="0" formatCode="General"/>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1" formatCode="0"/>
      <alignment horizontal="general" vertical="bottom" textRotation="0" wrapText="1" indent="0" relativeIndent="255" justifyLastLine="0" shrinkToFit="0" mergeCell="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relativeIndent="255" justifyLastLine="0" shrinkToFit="0" mergeCell="0" readingOrder="0"/>
    </dxf>
    <dxf>
      <numFmt numFmtId="164" formatCode="0.0"/>
      <alignment horizontal="general" vertical="bottom" textRotation="0" wrapText="1" indent="0" relativeIndent="255" justifyLastLine="0" shrinkToFit="0" mergeCell="0" readingOrder="0"/>
    </dxf>
    <dxf>
      <numFmt numFmtId="0" formatCode="General"/>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numFmt numFmtId="30" formatCode="@"/>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96"/>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Metrics'!$E$2</c:f>
              <c:strCache>
                <c:ptCount val="1"/>
                <c:pt idx="0">
                  <c:v>0</c:v>
                </c:pt>
              </c:strCache>
            </c:strRef>
          </c:tx>
          <c:spPr>
            <a:solidFill>
              <a:schemeClr val="accent1"/>
            </a:solidFill>
          </c:spPr>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731072"/>
        <c:axId val="47775744"/>
      </c:barChart>
      <c:catAx>
        <c:axId val="49731072"/>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47775744"/>
        <c:crosses val="autoZero"/>
        <c:auto val="1"/>
        <c:lblAlgn val="ctr"/>
        <c:lblOffset val="100"/>
      </c:catAx>
      <c:valAx>
        <c:axId val="47775744"/>
        <c:scaling>
          <c:orientation val="minMax"/>
        </c:scaling>
        <c:axPos val="l"/>
        <c:majorGridlines/>
        <c:title>
          <c:tx>
            <c:rich>
              <a:bodyPr rot="-5400000" vert="horz"/>
              <a:lstStyle/>
              <a:p>
                <a:pPr>
                  <a:defRPr/>
                </a:pPr>
                <a:r>
                  <a:rPr lang="en-US"/>
                  <a:t>Frequency</a:t>
                </a:r>
              </a:p>
            </c:rich>
          </c:tx>
        </c:title>
        <c:numFmt formatCode="General" sourceLinked="1"/>
        <c:tickLblPos val="nextTo"/>
        <c:crossAx val="49731072"/>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Metrics'!$G$2</c:f>
              <c:strCache>
                <c:ptCount val="1"/>
                <c:pt idx="0">
                  <c:v>0</c:v>
                </c:pt>
              </c:strCache>
            </c:strRef>
          </c:tx>
          <c:spPr>
            <a:solidFill>
              <a:schemeClr val="accent1"/>
            </a:solidFill>
          </c:spPr>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7820800"/>
        <c:axId val="47822720"/>
      </c:barChart>
      <c:catAx>
        <c:axId val="4782080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47822720"/>
        <c:crosses val="autoZero"/>
        <c:auto val="1"/>
        <c:lblAlgn val="ctr"/>
        <c:lblOffset val="100"/>
      </c:catAx>
      <c:valAx>
        <c:axId val="47822720"/>
        <c:scaling>
          <c:orientation val="minMax"/>
        </c:scaling>
        <c:axPos val="l"/>
        <c:majorGridlines/>
        <c:title>
          <c:tx>
            <c:rich>
              <a:bodyPr rot="-5400000" vert="horz"/>
              <a:lstStyle/>
              <a:p>
                <a:pPr>
                  <a:defRPr/>
                </a:pPr>
                <a:r>
                  <a:rPr lang="en-US"/>
                  <a:t>Frequency</a:t>
                </a:r>
              </a:p>
            </c:rich>
          </c:tx>
        </c:title>
        <c:numFmt formatCode="General" sourceLinked="1"/>
        <c:tickLblPos val="nextTo"/>
        <c:crossAx val="47820800"/>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Metrics'!$I$2</c:f>
              <c:strCache>
                <c:ptCount val="1"/>
                <c:pt idx="0">
                  <c:v>0</c:v>
                </c:pt>
              </c:strCache>
            </c:strRef>
          </c:tx>
          <c:spPr>
            <a:solidFill>
              <a:schemeClr val="accent1"/>
            </a:solidFill>
          </c:spPr>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723264"/>
        <c:axId val="49614848"/>
      </c:barChart>
      <c:catAx>
        <c:axId val="49723264"/>
        <c:scaling>
          <c:orientation val="minMax"/>
        </c:scaling>
        <c:delete val="1"/>
        <c:axPos val="b"/>
        <c:title>
          <c:tx>
            <c:rich>
              <a:bodyPr/>
              <a:lstStyle/>
              <a:p>
                <a:pPr>
                  <a:defRPr/>
                </a:pPr>
                <a:r>
                  <a:rPr lang="en-US"/>
                  <a:t>Out-Degree</a:t>
                </a:r>
              </a:p>
            </c:rich>
          </c:tx>
          <c:layout>
            <c:manualLayout>
              <c:xMode val="edge"/>
              <c:yMode val="edge"/>
              <c:x val="0.41379516818709683"/>
              <c:y val="0.80898890864450268"/>
            </c:manualLayout>
          </c:layout>
        </c:title>
        <c:numFmt formatCode="#,##0.00" sourceLinked="1"/>
        <c:tickLblPos val="none"/>
        <c:crossAx val="49614848"/>
        <c:crosses val="autoZero"/>
        <c:auto val="1"/>
        <c:lblAlgn val="ctr"/>
        <c:lblOffset val="100"/>
      </c:catAx>
      <c:valAx>
        <c:axId val="49614848"/>
        <c:scaling>
          <c:orientation val="minMax"/>
        </c:scaling>
        <c:axPos val="l"/>
        <c:majorGridlines/>
        <c:title>
          <c:tx>
            <c:rich>
              <a:bodyPr rot="-5400000" vert="horz"/>
              <a:lstStyle/>
              <a:p>
                <a:pPr>
                  <a:defRPr/>
                </a:pPr>
                <a:r>
                  <a:rPr lang="en-US"/>
                  <a:t>Frequency</a:t>
                </a:r>
              </a:p>
            </c:rich>
          </c:tx>
        </c:title>
        <c:numFmt formatCode="General" sourceLinked="1"/>
        <c:tickLblPos val="nextTo"/>
        <c:crossAx val="49723264"/>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Metrics'!$K$2</c:f>
              <c:strCache>
                <c:ptCount val="1"/>
                <c:pt idx="0">
                  <c:v>0</c:v>
                </c:pt>
              </c:strCache>
            </c:strRef>
          </c:tx>
          <c:spPr>
            <a:solidFill>
              <a:schemeClr val="accent1"/>
            </a:solidFill>
          </c:spPr>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639424"/>
        <c:axId val="49641344"/>
      </c:barChart>
      <c:catAx>
        <c:axId val="49639424"/>
        <c:scaling>
          <c:orientation val="minMax"/>
        </c:scaling>
        <c:delete val="1"/>
        <c:axPos val="b"/>
        <c:title>
          <c:tx>
            <c:rich>
              <a:bodyPr/>
              <a:lstStyle/>
              <a:p>
                <a:pPr>
                  <a:defRPr/>
                </a:pPr>
                <a:r>
                  <a:rPr lang="en-US"/>
                  <a:t>Betweenness Centrality</a:t>
                </a:r>
              </a:p>
            </c:rich>
          </c:tx>
          <c:layout>
            <c:manualLayout>
              <c:xMode val="edge"/>
              <c:yMode val="edge"/>
              <c:x val="0.32728710116056114"/>
              <c:y val="0.82619320971975252"/>
            </c:manualLayout>
          </c:layout>
        </c:title>
        <c:numFmt formatCode="#,##0.00" sourceLinked="1"/>
        <c:tickLblPos val="none"/>
        <c:crossAx val="49641344"/>
        <c:crosses val="autoZero"/>
        <c:auto val="1"/>
        <c:lblAlgn val="ctr"/>
        <c:lblOffset val="100"/>
      </c:catAx>
      <c:valAx>
        <c:axId val="49641344"/>
        <c:scaling>
          <c:orientation val="minMax"/>
        </c:scaling>
        <c:axPos val="l"/>
        <c:majorGridlines/>
        <c:title>
          <c:tx>
            <c:rich>
              <a:bodyPr rot="-5400000" vert="horz"/>
              <a:lstStyle/>
              <a:p>
                <a:pPr>
                  <a:defRPr/>
                </a:pPr>
                <a:r>
                  <a:rPr lang="en-US"/>
                  <a:t>Frequency</a:t>
                </a:r>
              </a:p>
            </c:rich>
          </c:tx>
        </c:title>
        <c:numFmt formatCode="General" sourceLinked="1"/>
        <c:tickLblPos val="nextTo"/>
        <c:crossAx val="49639424"/>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Metrics'!$M$2</c:f>
              <c:strCache>
                <c:ptCount val="1"/>
                <c:pt idx="0">
                  <c:v>0</c:v>
                </c:pt>
              </c:strCache>
            </c:strRef>
          </c:tx>
          <c:spPr>
            <a:solidFill>
              <a:schemeClr val="accent1"/>
            </a:solidFill>
          </c:spPr>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009984"/>
        <c:axId val="50012160"/>
      </c:barChart>
      <c:catAx>
        <c:axId val="50009984"/>
        <c:scaling>
          <c:orientation val="minMax"/>
        </c:scaling>
        <c:delete val="1"/>
        <c:axPos val="b"/>
        <c:title>
          <c:tx>
            <c:rich>
              <a:bodyPr/>
              <a:lstStyle/>
              <a:p>
                <a:pPr>
                  <a:defRPr/>
                </a:pPr>
                <a:r>
                  <a:rPr lang="en-US"/>
                  <a:t>Closeness Centrality</a:t>
                </a:r>
              </a:p>
            </c:rich>
          </c:tx>
          <c:layout>
            <c:manualLayout>
              <c:xMode val="edge"/>
              <c:yMode val="edge"/>
              <c:x val="0.35406086287408578"/>
              <c:y val="0.82619320971975252"/>
            </c:manualLayout>
          </c:layout>
        </c:title>
        <c:numFmt formatCode="#,##0.00" sourceLinked="1"/>
        <c:tickLblPos val="none"/>
        <c:crossAx val="50012160"/>
        <c:crosses val="autoZero"/>
        <c:auto val="1"/>
        <c:lblAlgn val="ctr"/>
        <c:lblOffset val="100"/>
      </c:catAx>
      <c:valAx>
        <c:axId val="50012160"/>
        <c:scaling>
          <c:orientation val="minMax"/>
        </c:scaling>
        <c:axPos val="l"/>
        <c:majorGridlines/>
        <c:title>
          <c:tx>
            <c:rich>
              <a:bodyPr rot="-5400000" vert="horz"/>
              <a:lstStyle/>
              <a:p>
                <a:pPr>
                  <a:defRPr/>
                </a:pPr>
                <a:r>
                  <a:rPr lang="en-US"/>
                  <a:t>Frequency</a:t>
                </a:r>
              </a:p>
            </c:rich>
          </c:tx>
        </c:title>
        <c:numFmt formatCode="General" sourceLinked="1"/>
        <c:tickLblPos val="nextTo"/>
        <c:crossAx val="50009984"/>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Metrics'!$O$2</c:f>
              <c:strCache>
                <c:ptCount val="1"/>
                <c:pt idx="0">
                  <c:v>0</c:v>
                </c:pt>
              </c:strCache>
            </c:strRef>
          </c:tx>
          <c:spPr>
            <a:solidFill>
              <a:schemeClr val="accent1"/>
            </a:solidFill>
          </c:spPr>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040832"/>
        <c:axId val="50042752"/>
      </c:barChart>
      <c:catAx>
        <c:axId val="50040832"/>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3355"/>
              <c:y val="0.82619320971975252"/>
            </c:manualLayout>
          </c:layout>
        </c:title>
        <c:numFmt formatCode="#,##0.00" sourceLinked="1"/>
        <c:tickLblPos val="none"/>
        <c:crossAx val="50042752"/>
        <c:crosses val="autoZero"/>
        <c:auto val="1"/>
        <c:lblAlgn val="ctr"/>
        <c:lblOffset val="100"/>
      </c:catAx>
      <c:valAx>
        <c:axId val="50042752"/>
        <c:scaling>
          <c:orientation val="minMax"/>
        </c:scaling>
        <c:axPos val="l"/>
        <c:majorGridlines/>
        <c:title>
          <c:tx>
            <c:rich>
              <a:bodyPr rot="-5400000" vert="horz"/>
              <a:lstStyle/>
              <a:p>
                <a:pPr>
                  <a:defRPr/>
                </a:pPr>
                <a:r>
                  <a:rPr lang="en-US"/>
                  <a:t>Frequency</a:t>
                </a:r>
              </a:p>
            </c:rich>
          </c:tx>
        </c:title>
        <c:numFmt formatCode="General" sourceLinked="1"/>
        <c:tickLblPos val="nextTo"/>
        <c:crossAx val="50040832"/>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Metrics'!$S$2</c:f>
              <c:strCache>
                <c:ptCount val="1"/>
                <c:pt idx="0">
                  <c:v>0</c:v>
                </c:pt>
              </c:strCache>
            </c:strRef>
          </c:tx>
          <c:spPr>
            <a:solidFill>
              <a:schemeClr val="accent1"/>
            </a:solidFill>
          </c:spPr>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067328"/>
        <c:axId val="50077696"/>
      </c:barChart>
      <c:catAx>
        <c:axId val="50067328"/>
        <c:scaling>
          <c:orientation val="minMax"/>
        </c:scaling>
        <c:delete val="1"/>
        <c:axPos val="b"/>
        <c:title>
          <c:tx>
            <c:rich>
              <a:bodyPr/>
              <a:lstStyle/>
              <a:p>
                <a:pPr>
                  <a:defRPr/>
                </a:pPr>
                <a:r>
                  <a:rPr lang="en-US"/>
                  <a:t>Clustering Coefficient</a:t>
                </a:r>
              </a:p>
            </c:rich>
          </c:tx>
          <c:layout>
            <c:manualLayout>
              <c:xMode val="edge"/>
              <c:yMode val="edge"/>
              <c:x val="0.33732726180313377"/>
              <c:y val="0.82619320971975252"/>
            </c:manualLayout>
          </c:layout>
        </c:title>
        <c:numFmt formatCode="#,##0.00" sourceLinked="1"/>
        <c:tickLblPos val="none"/>
        <c:crossAx val="50077696"/>
        <c:crosses val="autoZero"/>
        <c:auto val="1"/>
        <c:lblAlgn val="ctr"/>
        <c:lblOffset val="100"/>
      </c:catAx>
      <c:valAx>
        <c:axId val="50077696"/>
        <c:scaling>
          <c:orientation val="minMax"/>
        </c:scaling>
        <c:axPos val="l"/>
        <c:majorGridlines/>
        <c:title>
          <c:tx>
            <c:rich>
              <a:bodyPr rot="-5400000" vert="horz"/>
              <a:lstStyle/>
              <a:p>
                <a:pPr>
                  <a:defRPr/>
                </a:pPr>
                <a:r>
                  <a:rPr lang="en-US"/>
                  <a:t>Frequency</a:t>
                </a:r>
              </a:p>
            </c:rich>
          </c:tx>
        </c:title>
        <c:numFmt formatCode="General" sourceLinked="1"/>
        <c:tickLblPos val="nextTo"/>
        <c:crossAx val="50067328"/>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Metrics'!$Q$2</c:f>
              <c:strCache>
                <c:ptCount val="1"/>
                <c:pt idx="0">
                  <c:v>0</c:v>
                </c:pt>
              </c:strCache>
            </c:strRef>
          </c:tx>
          <c:spPr>
            <a:solidFill>
              <a:schemeClr val="accent1"/>
            </a:solidFill>
          </c:spPr>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0118656"/>
        <c:axId val="50120576"/>
      </c:barChart>
      <c:catAx>
        <c:axId val="50118656"/>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title>
        <c:numFmt formatCode="#,##0.00" sourceLinked="1"/>
        <c:tickLblPos val="none"/>
        <c:crossAx val="50120576"/>
        <c:crosses val="autoZero"/>
        <c:auto val="1"/>
        <c:lblAlgn val="ctr"/>
        <c:lblOffset val="100"/>
      </c:catAx>
      <c:valAx>
        <c:axId val="50120576"/>
        <c:scaling>
          <c:orientation val="minMax"/>
        </c:scaling>
        <c:axPos val="l"/>
        <c:majorGridlines/>
        <c:title>
          <c:tx>
            <c:rich>
              <a:bodyPr rot="-5400000" vert="horz"/>
              <a:lstStyle/>
              <a:p>
                <a:pPr>
                  <a:defRPr/>
                </a:pPr>
                <a:r>
                  <a:rPr lang="en-US"/>
                  <a:t>Frequency</a:t>
                </a:r>
              </a:p>
            </c:rich>
          </c:tx>
        </c:title>
        <c:numFmt formatCode="General" sourceLinked="1"/>
        <c:tickLblPos val="nextTo"/>
        <c:crossAx val="50118656"/>
        <c:crosses val="autoZero"/>
        <c:crossBetween val="between"/>
      </c:valAx>
    </c:plotArea>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6837E-3"/>
          <c:y val="8.0430855234004828E-3"/>
          <c:w val="0.99723592884220325"/>
          <c:h val="0.9839124654872371"/>
        </c:manualLayout>
      </c:layout>
      <c:barChart>
        <c:barDir val="col"/>
        <c:grouping val="clustered"/>
        <c:ser>
          <c:idx val="1"/>
          <c:order val="0"/>
          <c:tx>
            <c:strRef>
              <c:f>'Overall Metrics'!$U$2</c:f>
              <c:strCache>
                <c:ptCount val="1"/>
                <c:pt idx="0">
                  <c:v>#REF!</c:v>
                </c:pt>
              </c:strCache>
            </c:strRef>
          </c:tx>
          <c:spPr>
            <a:solidFill>
              <a:schemeClr val="accent1"/>
            </a:solidFill>
          </c:spPr>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52287360"/>
        <c:axId val="52288896"/>
      </c:barChart>
      <c:catAx>
        <c:axId val="52287360"/>
        <c:scaling>
          <c:orientation val="minMax"/>
        </c:scaling>
        <c:delete val="1"/>
        <c:axPos val="b"/>
        <c:numFmt formatCode="#,##0.00" sourceLinked="1"/>
        <c:tickLblPos val="none"/>
        <c:crossAx val="52288896"/>
        <c:crosses val="autoZero"/>
        <c:auto val="1"/>
        <c:lblAlgn val="ctr"/>
        <c:lblOffset val="100"/>
      </c:catAx>
      <c:valAx>
        <c:axId val="52288896"/>
        <c:scaling>
          <c:orientation val="minMax"/>
        </c:scaling>
        <c:delete val="1"/>
        <c:axPos val="l"/>
        <c:numFmt formatCode="General" sourceLinked="1"/>
        <c:tickLblPos val="none"/>
        <c:crossAx val="52287360"/>
        <c:crosses val="autoZero"/>
        <c:crossBetween val="between"/>
      </c:valAx>
      <c:spPr>
        <a:solidFill>
          <a:schemeClr val="bg1">
            <a:lumMod val="85000"/>
          </a:schemeClr>
        </a:solidFill>
        <a:ln>
          <a:noFill/>
        </a:ln>
      </c:spPr>
    </c:plotArea>
  </c:chart>
  <c:spPr>
    <a:noFill/>
    <a:ln>
      <a:noFill/>
    </a:ln>
  </c:spPr>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34</xdr:row>
      <xdr:rowOff>38100</xdr:rowOff>
    </xdr:from>
    <xdr:to>
      <xdr:col>1</xdr:col>
      <xdr:colOff>918209</xdr:colOff>
      <xdr:row>41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48</xdr:row>
      <xdr:rowOff>38100</xdr:rowOff>
    </xdr:from>
    <xdr:to>
      <xdr:col>1</xdr:col>
      <xdr:colOff>918209</xdr:colOff>
      <xdr:row>55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62</xdr:row>
      <xdr:rowOff>28575</xdr:rowOff>
    </xdr:from>
    <xdr:to>
      <xdr:col>1</xdr:col>
      <xdr:colOff>918209</xdr:colOff>
      <xdr:row>69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76</xdr:row>
      <xdr:rowOff>9525</xdr:rowOff>
    </xdr:from>
    <xdr:to>
      <xdr:col>1</xdr:col>
      <xdr:colOff>918210</xdr:colOff>
      <xdr:row>83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90</xdr:row>
      <xdr:rowOff>19050</xdr:rowOff>
    </xdr:from>
    <xdr:to>
      <xdr:col>2</xdr:col>
      <xdr:colOff>0</xdr:colOff>
      <xdr:row>97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104</xdr:row>
      <xdr:rowOff>19050</xdr:rowOff>
    </xdr:from>
    <xdr:to>
      <xdr:col>1</xdr:col>
      <xdr:colOff>918210</xdr:colOff>
      <xdr:row>111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132</xdr:row>
      <xdr:rowOff>9525</xdr:rowOff>
    </xdr:from>
    <xdr:to>
      <xdr:col>1</xdr:col>
      <xdr:colOff>918210</xdr:colOff>
      <xdr:row>139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118</xdr:row>
      <xdr:rowOff>0</xdr:rowOff>
    </xdr:from>
    <xdr:to>
      <xdr:col>1</xdr:col>
      <xdr:colOff>918210</xdr:colOff>
      <xdr:row>125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0</xdr:colOff>
      <xdr:row>1</xdr:row>
      <xdr:rowOff>0</xdr:rowOff>
    </xdr:from>
    <xdr:to>
      <xdr:col>22</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N3" totalsRowShown="0" headerRowDxfId="95" dataDxfId="94">
  <autoFilter ref="A2:N3">
    <filterColumn colId="3"/>
    <filterColumn colId="4"/>
    <filterColumn colId="5"/>
    <filterColumn colId="6"/>
    <filterColumn colId="7"/>
    <filterColumn colId="8"/>
    <filterColumn colId="9"/>
    <filterColumn colId="10"/>
    <filterColumn colId="11"/>
    <filterColumn colId="12"/>
    <filterColumn colId="13"/>
  </autoFilter>
  <tableColumns count="14">
    <tableColumn id="1" name="Vertex 1" dataDxfId="93" dataCellStyle="NodeXL Required"/>
    <tableColumn id="2" name="Vertex 2" dataDxfId="92" dataCellStyle="NodeXL Required"/>
    <tableColumn id="3" name="Color" dataDxfId="91" dataCellStyle="NodeXL Visual Property"/>
    <tableColumn id="4" name="Width" dataDxfId="90" dataCellStyle="NodeXL Visual Property"/>
    <tableColumn id="11" name="Style" dataDxfId="89" dataCellStyle="NodeXL Visual Property"/>
    <tableColumn id="5" name="Opacity" dataDxfId="88" dataCellStyle="NodeXL Visual Property"/>
    <tableColumn id="6" name="Visibility" dataDxfId="87" dataCellStyle="NodeXL Visual Property"/>
    <tableColumn id="10" name="Label" dataDxfId="86" dataCellStyle="NodeXL Label"/>
    <tableColumn id="12" name="Label Text Color" dataDxfId="85" dataCellStyle="NodeXL Label"/>
    <tableColumn id="13" name="Label Font Size" dataDxfId="84" dataCellStyle="NodeXL Label"/>
    <tableColumn id="14" name="Reciprocated?" dataDxfId="83" dataCellStyle="NodeXL Graph Metric"/>
    <tableColumn id="7" name="ID" dataDxfId="82" dataCellStyle="NodeXL Do Not Edit"/>
    <tableColumn id="9" name="Dynamic Filter" dataDxfId="81" dataCellStyle="NodeXL Do Not Edit"/>
    <tableColumn id="8" name="Add Your Own Columns Here" dataDxfId="8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C3" totalsRowShown="0" headerRowDxfId="79" dataDxfId="78">
  <autoFilter ref="A2:AC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filterColumn colId="28"/>
  </autoFilter>
  <tableColumns count="29">
    <tableColumn id="1" name="Vertex" dataDxfId="77" dataCellStyle="NodeXL Required"/>
    <tableColumn id="2" name="Color" dataDxfId="76" dataCellStyle="NodeXL Visual Property"/>
    <tableColumn id="5" name="Shape" dataDxfId="75" dataCellStyle="NodeXL Visual Property"/>
    <tableColumn id="6" name="Size" dataDxfId="74" dataCellStyle="NodeXL Visual Property"/>
    <tableColumn id="4" name="Opacity" dataDxfId="73" dataCellStyle="NodeXL Visual Property"/>
    <tableColumn id="7" name="Image File" dataDxfId="72" dataCellStyle="NodeXL Visual Property"/>
    <tableColumn id="3" name="Visibility" dataDxfId="71" dataCellStyle="NodeXL Visual Property"/>
    <tableColumn id="10" name="Label" dataDxfId="70" dataCellStyle="NodeXL Label"/>
    <tableColumn id="16" name="Label Fill Color" dataDxfId="69" dataCellStyle="NodeXL Label"/>
    <tableColumn id="9" name="Label Position" dataDxfId="68" dataCellStyle="NodeXL Label"/>
    <tableColumn id="8" name="Tooltip" dataDxfId="67" dataCellStyle="NodeXL Label"/>
    <tableColumn id="18" name="Layout Order" dataDxfId="66" dataCellStyle="NodeXL Layout"/>
    <tableColumn id="13" name="X" dataDxfId="65" dataCellStyle="NodeXL Layout"/>
    <tableColumn id="14" name="Y" dataDxfId="64" dataCellStyle="NodeXL Layout"/>
    <tableColumn id="12" name="Locked?" dataDxfId="63" dataCellStyle="NodeXL Layout"/>
    <tableColumn id="19" name="Polar R" dataDxfId="62" dataCellStyle="NodeXL Layout"/>
    <tableColumn id="20" name="Polar Angle" dataDxfId="61" dataCellStyle="NodeXL Layout"/>
    <tableColumn id="21" name="Degree" dataDxfId="60" dataCellStyle="NodeXL Graph Metric"/>
    <tableColumn id="22" name="In-Degree" dataDxfId="59" dataCellStyle="NodeXL Graph Metric"/>
    <tableColumn id="23" name="Out-Degree" dataDxfId="58" dataCellStyle="NodeXL Graph Metric"/>
    <tableColumn id="24" name="Betweenness Centrality" dataDxfId="57" dataCellStyle="NodeXL Graph Metric"/>
    <tableColumn id="25" name="Closeness Centrality" dataDxfId="56" dataCellStyle="NodeXL Graph Metric"/>
    <tableColumn id="26" name="Eigenvector Centrality" dataDxfId="55" dataCellStyle="NodeXL Graph Metric"/>
    <tableColumn id="15" name="PageRank" dataDxfId="54" dataCellStyle="NodeXL Graph Metric"/>
    <tableColumn id="27" name="Clustering Coefficient" dataDxfId="53" dataCellStyle="NodeXL Graph Metric"/>
    <tableColumn id="29" name="Reciprocated Vertex Pair Ratio" dataDxfId="52" dataCellStyle="NodeXL Graph Metric"/>
    <tableColumn id="11" name="ID" dataDxfId="51" dataCellStyle="NodeXL Do Not Edit"/>
    <tableColumn id="28" name="Dynamic Filter" dataDxfId="50" dataCellStyle="NodeXL Do Not Edit"/>
    <tableColumn id="17" name="Add Your Own Columns Here" dataDxfId="4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X3" insertRow="1" totalsRowShown="0" headerRowDxfId="48">
  <autoFilter ref="A2:X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autoFilter>
  <tableColumns count="24">
    <tableColumn id="1" name="Group" dataDxfId="47" dataCellStyle="NodeXL Required"/>
    <tableColumn id="2" name="Vertex Color" dataDxfId="46" dataCellStyle="NodeXL Visual Property"/>
    <tableColumn id="3" name="Vertex Shape" dataDxfId="45" dataCellStyle="NodeXL Visual Property"/>
    <tableColumn id="22" name="Visibility" dataDxfId="44" dataCellStyle="NodeXL Visual Property"/>
    <tableColumn id="4" name="Collapsed?" dataCellStyle="NodeXL Visual Property"/>
    <tableColumn id="18" name="Label" dataDxfId="43" dataCellStyle="NodeXL Label"/>
    <tableColumn id="20" name="Collapsed X" dataCellStyle="NodeXL Layout"/>
    <tableColumn id="21" name="Collapsed Y" dataCellStyle="NodeXL Layout"/>
    <tableColumn id="6" name="ID" dataDxfId="42" dataCellStyle="NodeXL Do Not Edit"/>
    <tableColumn id="19" name="Collapsed Properties" dataDxfId="41" dataCellStyle="NodeXL Do Not Edit"/>
    <tableColumn id="5" name="Vertices" dataDxfId="40" dataCellStyle="NodeXL Graph Metric"/>
    <tableColumn id="7" name="Unique Edges" dataDxfId="39" dataCellStyle="NodeXL Graph Metric"/>
    <tableColumn id="8" name="Edges With Duplicates" dataDxfId="38" dataCellStyle="NodeXL Graph Metric"/>
    <tableColumn id="9" name="Total Edges" dataDxfId="37" dataCellStyle="NodeXL Graph Metric"/>
    <tableColumn id="10" name="Self-Loops" dataDxfId="36" dataCellStyle="NodeXL Graph Metric"/>
    <tableColumn id="24" name="Reciprocated Vertex Pair Ratio" dataDxfId="35" dataCellStyle="NodeXL Graph Metric"/>
    <tableColumn id="25" name="Reciprocated Edge Ratio"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filterColumn colId="2"/>
  </autoFilter>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6" totalsRowShown="0" dataCellStyle="NodeXL Graph Metric">
  <autoFilter ref="A1:B26"/>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autoFilter>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9:B32" totalsRowShown="0" dataCellStyle="NodeXL Graph Metric">
  <autoFilter ref="A29:B32"/>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J1:K4" totalsRowShown="0" headerRowDxfId="1">
  <autoFilter ref="J1:K4"/>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M1:P2" totalsRowShown="0" headerRowDxfId="0">
  <autoFilter ref="M1:P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sheetPr codeName="Sheet1"/>
  <dimension ref="A1:N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5.5703125" style="3" hidden="1" customWidth="1"/>
    <col min="12" max="12" width="11" hidden="1" customWidth="1"/>
    <col min="13" max="13" width="10.85546875" hidden="1" customWidth="1"/>
    <col min="14" max="14" width="16" bestFit="1" customWidth="1"/>
  </cols>
  <sheetData>
    <row r="1" spans="1:14">
      <c r="C1" s="18" t="s">
        <v>40</v>
      </c>
      <c r="D1" s="19"/>
      <c r="E1" s="19"/>
      <c r="F1" s="19"/>
      <c r="G1" s="18"/>
      <c r="H1" s="16" t="s">
        <v>44</v>
      </c>
      <c r="I1" s="66"/>
      <c r="J1" s="66"/>
      <c r="K1" s="35" t="s">
        <v>43</v>
      </c>
      <c r="L1" s="20" t="s">
        <v>41</v>
      </c>
      <c r="M1" s="20"/>
      <c r="N1" s="17" t="s">
        <v>42</v>
      </c>
    </row>
    <row r="2" spans="1:14" ht="30" customHeight="1">
      <c r="A2" s="11" t="s">
        <v>0</v>
      </c>
      <c r="B2" s="11" t="s">
        <v>1</v>
      </c>
      <c r="C2" s="13" t="s">
        <v>2</v>
      </c>
      <c r="D2" s="13" t="s">
        <v>3</v>
      </c>
      <c r="E2" s="13" t="s">
        <v>131</v>
      </c>
      <c r="F2" s="13" t="s">
        <v>4</v>
      </c>
      <c r="G2" s="13" t="s">
        <v>11</v>
      </c>
      <c r="H2" s="11" t="s">
        <v>47</v>
      </c>
      <c r="I2" s="13" t="s">
        <v>161</v>
      </c>
      <c r="J2" s="13" t="s">
        <v>162</v>
      </c>
      <c r="K2" s="13" t="s">
        <v>166</v>
      </c>
      <c r="L2" s="13" t="s">
        <v>12</v>
      </c>
      <c r="M2" s="13" t="s">
        <v>39</v>
      </c>
      <c r="N2" s="13" t="s">
        <v>26</v>
      </c>
    </row>
    <row r="3" spans="1:14" ht="15" customHeight="1">
      <c r="A3" s="50"/>
      <c r="B3" s="50"/>
      <c r="C3" s="54"/>
      <c r="D3" s="55"/>
      <c r="E3" s="67"/>
      <c r="F3" s="56"/>
      <c r="G3" s="54"/>
      <c r="H3" s="58"/>
      <c r="I3" s="57"/>
      <c r="J3" s="57"/>
      <c r="K3" s="69"/>
      <c r="L3" s="63"/>
      <c r="M3" s="63"/>
      <c r="N3" s="64"/>
    </row>
    <row r="4" spans="1:14" ht="15" customHeight="1"/>
    <row r="23" spans="13:13">
      <c r="M23" s="7"/>
    </row>
  </sheetData>
  <dataConsolidate/>
  <dataValidations count="14">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M3"/>
    <dataValidation allowBlank="1" showErrorMessage="1" sqref="N2:N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invali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invalid edge style.  Try selecting from the drop-down list instead." promptTitle="Edge Style" prompt="Select an optional edge style.  Edges are Solid by default." sqref="E3">
      <formula1>ValidEdgeStyles</formula1>
    </dataValidation>
    <dataValidation allowBlank="1" errorTitle="Invalid Edge Visibility" error="The optional edge visibility must be Yes, Y, True, T, Always, 1, or empty to make the edge visible; or No, N, False, F, Never, or 0 to hide the edge.  Try selecting from the drop-down list instead." sqref="K3"/>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H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cols>
    <col min="1" max="1" width="9.140625" style="1"/>
    <col min="2" max="2" width="7.85546875" customWidth="1"/>
    <col min="3" max="3" width="8.5703125" customWidth="1"/>
    <col min="4" max="4" width="6.7109375" customWidth="1"/>
    <col min="5" max="5" width="9.85546875" customWidth="1"/>
    <col min="6" max="6" width="7.7109375" customWidth="1"/>
    <col min="7" max="7" width="11" customWidth="1"/>
    <col min="8" max="8" width="8.5703125" customWidth="1"/>
    <col min="9" max="9" width="9.7109375" customWidth="1"/>
    <col min="10" max="10" width="10.5703125" style="3" customWidth="1"/>
    <col min="11" max="11" width="9.140625" customWidth="1"/>
    <col min="12" max="12" width="9.140625" hidden="1" customWidth="1"/>
    <col min="13" max="14" width="4.28515625" hidden="1" customWidth="1"/>
    <col min="15" max="15" width="10.28515625" hidden="1" customWidth="1"/>
    <col min="16" max="16" width="6.42578125" hidden="1" customWidth="1"/>
    <col min="17" max="17" width="8.28515625" hidden="1" customWidth="1"/>
    <col min="18" max="18" width="9.5703125" hidden="1" customWidth="1"/>
    <col min="19" max="19" width="9.28515625" hidden="1" customWidth="1"/>
    <col min="20" max="20" width="9.5703125" hidden="1" customWidth="1"/>
    <col min="21" max="23" width="14.28515625" hidden="1" customWidth="1"/>
    <col min="24" max="24" width="11.85546875" hidden="1" customWidth="1"/>
    <col min="25" max="25" width="14.42578125" hidden="1" customWidth="1"/>
    <col min="26" max="26" width="18.28515625" hidden="1" customWidth="1"/>
    <col min="27" max="27" width="5" style="3" hidden="1" customWidth="1"/>
    <col min="28" max="28" width="16" style="3" hidden="1" customWidth="1"/>
    <col min="29" max="29" width="16" style="6" bestFit="1" customWidth="1"/>
    <col min="30" max="30" width="14.28515625" style="2" customWidth="1"/>
    <col min="31" max="32" width="14.28515625" style="3" customWidth="1"/>
    <col min="33" max="33" width="11.85546875" style="3" customWidth="1"/>
    <col min="34" max="34" width="14.42578125" style="3" customWidth="1"/>
    <col min="35" max="35" width="5" customWidth="1"/>
    <col min="36" max="36" width="16" customWidth="1"/>
    <col min="37" max="37" width="16" bestFit="1" customWidth="1"/>
    <col min="38" max="39" width="9.140625" customWidth="1"/>
  </cols>
  <sheetData>
    <row r="1" spans="1:34">
      <c r="B1" s="25" t="s">
        <v>40</v>
      </c>
      <c r="C1" s="18"/>
      <c r="D1" s="18"/>
      <c r="E1" s="18"/>
      <c r="F1" s="18"/>
      <c r="G1" s="18"/>
      <c r="H1" s="27" t="s">
        <v>44</v>
      </c>
      <c r="I1" s="26"/>
      <c r="J1" s="26"/>
      <c r="K1" s="26"/>
      <c r="L1" s="29" t="s">
        <v>45</v>
      </c>
      <c r="M1" s="28"/>
      <c r="N1" s="28"/>
      <c r="O1" s="28"/>
      <c r="P1" s="28"/>
      <c r="Q1" s="28"/>
      <c r="R1" s="24" t="s">
        <v>43</v>
      </c>
      <c r="S1" s="21"/>
      <c r="T1" s="22"/>
      <c r="U1" s="23"/>
      <c r="V1" s="21"/>
      <c r="W1" s="21"/>
      <c r="X1" s="21"/>
      <c r="Y1" s="21"/>
      <c r="Z1" s="21"/>
      <c r="AA1" s="30" t="s">
        <v>41</v>
      </c>
      <c r="AB1" s="20"/>
      <c r="AC1" s="31" t="s">
        <v>42</v>
      </c>
      <c r="AD1"/>
      <c r="AE1"/>
      <c r="AF1"/>
      <c r="AG1"/>
      <c r="AH1"/>
    </row>
    <row r="2" spans="1:34" ht="30" customHeight="1">
      <c r="A2" s="11" t="s">
        <v>5</v>
      </c>
      <c r="B2" s="8" t="s">
        <v>2</v>
      </c>
      <c r="C2" s="8" t="s">
        <v>8</v>
      </c>
      <c r="D2" s="9" t="s">
        <v>46</v>
      </c>
      <c r="E2" s="10" t="s">
        <v>4</v>
      </c>
      <c r="F2" s="8" t="s">
        <v>49</v>
      </c>
      <c r="G2" s="8" t="s">
        <v>11</v>
      </c>
      <c r="H2" s="8" t="s">
        <v>47</v>
      </c>
      <c r="I2" s="8" t="s">
        <v>48</v>
      </c>
      <c r="J2" s="8" t="s">
        <v>78</v>
      </c>
      <c r="K2" s="8" t="s">
        <v>10</v>
      </c>
      <c r="L2" s="8" t="s">
        <v>27</v>
      </c>
      <c r="M2" s="8" t="s">
        <v>15</v>
      </c>
      <c r="N2" s="8" t="s">
        <v>16</v>
      </c>
      <c r="O2" s="8" t="s">
        <v>13</v>
      </c>
      <c r="P2" s="8" t="s">
        <v>28</v>
      </c>
      <c r="Q2" s="8" t="s">
        <v>29</v>
      </c>
      <c r="R2" s="13" t="s">
        <v>32</v>
      </c>
      <c r="S2" s="13" t="s">
        <v>33</v>
      </c>
      <c r="T2" s="13" t="s">
        <v>34</v>
      </c>
      <c r="U2" s="13" t="s">
        <v>35</v>
      </c>
      <c r="V2" s="13" t="s">
        <v>36</v>
      </c>
      <c r="W2" s="13" t="s">
        <v>37</v>
      </c>
      <c r="X2" s="13" t="s">
        <v>138</v>
      </c>
      <c r="Y2" s="13" t="s">
        <v>38</v>
      </c>
      <c r="Z2" s="13" t="s">
        <v>171</v>
      </c>
      <c r="AA2" s="11" t="s">
        <v>12</v>
      </c>
      <c r="AB2" s="11" t="s">
        <v>39</v>
      </c>
      <c r="AC2" s="8" t="s">
        <v>26</v>
      </c>
      <c r="AD2" s="3"/>
      <c r="AF2"/>
      <c r="AG2"/>
      <c r="AH2"/>
    </row>
    <row r="3" spans="1:34" ht="15" customHeight="1">
      <c r="A3" s="50"/>
      <c r="B3" s="54"/>
      <c r="C3" s="54"/>
      <c r="D3" s="55"/>
      <c r="E3" s="56"/>
      <c r="F3" s="54"/>
      <c r="G3" s="54"/>
      <c r="H3" s="58"/>
      <c r="I3" s="57"/>
      <c r="J3" s="57"/>
      <c r="K3" s="58"/>
      <c r="L3" s="60"/>
      <c r="M3" s="61"/>
      <c r="N3" s="61"/>
      <c r="O3" s="59"/>
      <c r="P3" s="62"/>
      <c r="Q3" s="62"/>
      <c r="R3" s="51"/>
      <c r="S3" s="51"/>
      <c r="T3" s="51"/>
      <c r="U3" s="51"/>
      <c r="V3" s="52"/>
      <c r="W3" s="52"/>
      <c r="X3" s="53"/>
      <c r="Y3" s="52"/>
      <c r="Z3" s="52"/>
      <c r="AA3" s="63"/>
      <c r="AB3" s="63"/>
      <c r="AC3" s="64"/>
      <c r="AD3" s="3"/>
      <c r="AF3"/>
      <c r="AG3"/>
      <c r="AH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AA3"/>
    <dataValidation allowBlank="1" errorTitle="Invalid Vertex Visibility" error="You have entered an unrecognized vertex visibility.  Try selecting from the drop-down list instead." sqref="AD3"/>
    <dataValidation allowBlank="1" showErrorMessage="1" sqref="AD2"/>
    <dataValidation type="list" allowBlank="1" showInputMessage="1" showErrorMessage="1" errorTitle="Invalid Vertex Locked" error="You have entered an invalid vertex &quot;locked.&quot;  Try selecting from the drop-down list instead." promptTitle="Vertex Locked?" prompt="Set to Yes to lock the vertex at its current location." sqref="O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If you enter X and Y values, you should set NodeXL, Graph, Layout to &quot;None&quot; to prevent NodeXL from overwriting your values when you show the graph." sqref="M3:N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and stacked in the graph." sqref="L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P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Q3"/>
    <dataValidation allowBlank="1" showInputMessage="1" errorTitle="Invalid Vertex Image Key" promptTitle="Vertex Tooltip" prompt="Enter optional text that will pop up when the mouse is hovered over the vertex." sqref="K3"/>
    <dataValidation allowBlank="1" errorTitle="Invalid Vertex Visibility" error="You have entered an unrecognized vertex visibility.  Try selecting from the drop-down list instead." promptTitle="Vertex ID" prompt="This is a unique ID that gets filled in automatically.  Do not edit this column." sqref="AB3"/>
    <dataValidation type="list" allowBlank="1" showInputMessage="1" showErrorMessage="1" errorTitle="Invalid Vertex Visibility" error="You have entered an invalid vertex visibility.  Try selecting from the drop-down list instead." promptTitle="Vertex Visibility" prompt="Select an optional vertex visibility.  Vertices are &quot;Show if in an Edge&quot; by default." sqref="G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H3"/>
    <dataValidation allowBlank="1" showInputMessage="1" promptTitle="Vertex Label Fill Color" prompt="To select an optional fill color for the Label shape, right-click and select Select Color on the right-click menu." sqref="I3"/>
    <dataValidation allowBlank="1" showInputMessage="1" errorTitle="Invalid Vertex Image Key" promptTitle="Vertex Image File" prompt="Enter the path to an image file.  Hover over the column header for examples." sqref="F3"/>
    <dataValidation allowBlank="1" showInputMessage="1" promptTitle="Vertex Color" prompt="To select an optional vertex color, right-click and select Select Color on the right-click menu." sqref="B3"/>
    <dataValidation allowBlank="1" showInputMessage="1" errorTitle="Invalid Vertex Opacity" error="The optional vertex opacity must be a whole number between 0 and 10." promptTitle="Vertex Opacity" prompt="Enter an optional vertex opacity between 0 (transparent) and 100 (opaque)." sqref="E3"/>
    <dataValidation type="list" allowBlank="1" showInputMessage="1" showErrorMessage="1" errorTitle="Invalid Vertex Shape" error="You have entered an invalid vertex shape.  Try selecting from the drop-down list instead." promptTitle="Vertex Shape" prompt="Select an optional vertex shape." sqref="C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D3"/>
    <dataValidation type="list" allowBlank="1" showInputMessage="1" showErrorMessage="1" errorTitle="Invalid Vertex Label Position" error="You have entered an invalid vertex label position.  Try selecting from the drop-down list instead." promptTitle="Vertex Label Position" prompt="Select an optional vertex label position." sqref="J3">
      <formula1>ValidVertexLabelPositions</formula1>
    </dataValidation>
    <dataValidation allowBlank="1" showInputMessage="1" showErrorMessage="1" promptTitle="Vertex Name" prompt="Enter the name of the vertex." sqref="A3"/>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50</v>
      </c>
    </row>
    <row r="2" spans="1:1" ht="15" customHeight="1"/>
    <row r="3" spans="1:1" ht="15" customHeight="1">
      <c r="A3" s="32" t="s">
        <v>51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X10"/>
  <sheetViews>
    <sheetView workbookViewId="0">
      <pane ySplit="2" topLeftCell="A3" activePane="bottomLeft" state="frozen"/>
      <selection pane="bottomLeft" activeCell="A3" sqref="A3"/>
    </sheetView>
  </sheetViews>
  <sheetFormatPr defaultRowHeight="15"/>
  <cols>
    <col min="1" max="1" width="9.42578125" style="1" bestFit="1" customWidth="1"/>
    <col min="2" max="2" width="14.28515625" bestFit="1" customWidth="1"/>
    <col min="3" max="3" width="15" bestFit="1" customWidth="1"/>
    <col min="4" max="4" width="11.140625" bestFit="1" customWidth="1"/>
    <col min="5" max="5" width="13" bestFit="1" customWidth="1"/>
    <col min="6" max="6" width="8" bestFit="1" customWidth="1"/>
    <col min="7" max="8" width="13.5703125" hidden="1" customWidth="1"/>
    <col min="9" max="9" width="11" hidden="1" customWidth="1"/>
    <col min="10" max="10" width="12.5703125" hidden="1" customWidth="1"/>
    <col min="11" max="11" width="11" hidden="1" customWidth="1"/>
    <col min="12" max="12" width="9.7109375" hidden="1" customWidth="1"/>
    <col min="13" max="13" width="13.140625" hidden="1" customWidth="1"/>
    <col min="14" max="15" width="8.42578125" hidden="1" customWidth="1"/>
    <col min="16" max="16" width="18.28515625" hidden="1" customWidth="1"/>
    <col min="17" max="17" width="14.85546875" hidden="1" customWidth="1"/>
    <col min="18" max="18" width="14.5703125" hidden="1" customWidth="1"/>
    <col min="19" max="21" width="24.140625" hidden="1" customWidth="1"/>
    <col min="22" max="22" width="21.28515625" hidden="1" customWidth="1"/>
    <col min="23" max="23" width="19.28515625" hidden="1" customWidth="1"/>
    <col min="24" max="24" width="10" hidden="1" customWidth="1"/>
    <col min="25" max="25" width="13" customWidth="1"/>
  </cols>
  <sheetData>
    <row r="1" spans="1:24">
      <c r="B1" s="70" t="s">
        <v>40</v>
      </c>
      <c r="C1" s="71"/>
      <c r="D1" s="71"/>
      <c r="E1" s="72"/>
      <c r="F1" s="68" t="s">
        <v>44</v>
      </c>
      <c r="G1" s="73" t="s">
        <v>45</v>
      </c>
      <c r="H1" s="74"/>
      <c r="I1" s="75" t="s">
        <v>41</v>
      </c>
      <c r="J1" s="76"/>
      <c r="K1" s="77" t="s">
        <v>43</v>
      </c>
      <c r="L1" s="78"/>
      <c r="M1" s="78"/>
      <c r="N1" s="78"/>
      <c r="O1" s="78"/>
      <c r="P1" s="78"/>
      <c r="Q1" s="78"/>
      <c r="R1" s="78"/>
      <c r="S1" s="78"/>
      <c r="T1" s="78"/>
      <c r="U1" s="78"/>
      <c r="V1" s="78"/>
      <c r="W1" s="78"/>
      <c r="X1" s="78"/>
    </row>
    <row r="2" spans="1:24" s="13" customFormat="1" ht="30" customHeight="1">
      <c r="A2" s="11" t="s">
        <v>145</v>
      </c>
      <c r="B2" s="13" t="s">
        <v>21</v>
      </c>
      <c r="C2" s="13" t="s">
        <v>20</v>
      </c>
      <c r="D2" s="13" t="s">
        <v>11</v>
      </c>
      <c r="E2" s="13" t="s">
        <v>146</v>
      </c>
      <c r="F2" s="13" t="s">
        <v>47</v>
      </c>
      <c r="G2" s="13" t="s">
        <v>168</v>
      </c>
      <c r="H2" s="13" t="s">
        <v>169</v>
      </c>
      <c r="I2" s="13" t="s">
        <v>12</v>
      </c>
      <c r="J2" s="13" t="s">
        <v>167</v>
      </c>
      <c r="K2" s="13" t="s">
        <v>147</v>
      </c>
      <c r="L2" s="13" t="s">
        <v>149</v>
      </c>
      <c r="M2" s="13" t="s">
        <v>150</v>
      </c>
      <c r="N2" s="13" t="s">
        <v>151</v>
      </c>
      <c r="O2" s="13" t="s">
        <v>152</v>
      </c>
      <c r="P2" s="13" t="s">
        <v>171</v>
      </c>
      <c r="Q2" s="13" t="s">
        <v>172</v>
      </c>
      <c r="R2" s="13" t="s">
        <v>153</v>
      </c>
      <c r="S2" s="13" t="s">
        <v>154</v>
      </c>
      <c r="T2" s="13" t="s">
        <v>155</v>
      </c>
      <c r="U2" s="13" t="s">
        <v>156</v>
      </c>
      <c r="V2" s="13" t="s">
        <v>157</v>
      </c>
      <c r="W2" s="13" t="s">
        <v>158</v>
      </c>
      <c r="X2" s="13" t="s">
        <v>159</v>
      </c>
    </row>
    <row r="3" spans="1:24">
      <c r="A3" s="14"/>
      <c r="B3" s="15"/>
      <c r="C3" s="15"/>
      <c r="D3" s="15"/>
      <c r="E3" s="15"/>
      <c r="F3" s="16"/>
      <c r="G3" s="79"/>
      <c r="H3" s="79"/>
      <c r="I3" s="65"/>
      <c r="J3" s="65"/>
      <c r="K3" s="48"/>
      <c r="L3" s="48"/>
      <c r="M3" s="48"/>
      <c r="N3" s="48"/>
      <c r="O3" s="48"/>
      <c r="P3" s="48"/>
      <c r="Q3" s="48"/>
      <c r="R3" s="48"/>
      <c r="S3" s="48"/>
      <c r="T3" s="48"/>
      <c r="U3" s="48"/>
      <c r="V3" s="48"/>
      <c r="W3" s="49"/>
      <c r="X3" s="49"/>
    </row>
    <row r="10" spans="1:24" ht="14.25" customHeight="1"/>
  </sheetData>
  <dataConsolidate/>
  <dataValidations count="8">
    <dataValidation allowBlank="1" showInputMessage="1" promptTitle="Group Vertex Color" prompt="To select a color to use for all vertices in the group, right-click and select Select Color on the right-click menu." sqref="B3"/>
    <dataValidation type="list" allowBlank="1" showInputMessage="1" showErrorMessage="1" errorTitle="Invalid Group Vertex Shape" error="You have entered an invalid group vertex shape.  Try selecting from the drop-down list instead." promptTitle="Group 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invalid group &quot;collapsed.&quot;  Try selecting from the drop-down list instead." promptTitle="Group Collapsed?" prompt="Set to Yes to collapse the group." sqref="E3">
      <formula1>ValidBooleansDefaultFalse</formula1>
    </dataValidation>
    <dataValidation allowBlank="1" sqref="K3"/>
    <dataValidation allowBlank="1" showInputMessage="1" showErrorMessage="1" errorTitle="Invalid Group Collapsed" error="You have entered an unrecognized &quot;group collapsed.&quot;  Try selecting from the drop-down list instead." promptTitle="Group Label" prompt="Enter an optional group label." sqref="F3"/>
    <dataValidation allowBlank="1" showInputMessage="1" showErrorMessage="1" errorTitle="Invalid Group Collapsed" error="You have entered an unrecognized &quot;group collapsed.&quot;  Try selecting from the drop-down list instead." promptTitle="Collapsed Location" prompt="Enter an optional collapsed location.  Collapsed X and Y values should be between 0 and 9,999.  If you enter Collapsed X and Y values, you should set NodeXL, Graph, Layout to &quot;None&quot; to prevent NodeXL from overwriting your values when you show the graph." sqref="G3:H3"/>
    <dataValidation type="list" allowBlank="1" showInputMessage="1" showErrorMessage="1" errorTitle="Invalid Group Visibility" error="You have entered an invalid group visibility.  Try selecting from the drop-down list instead." promptTitle="Group Visibility" prompt="Select an optional group visibility.  Groups are shown by default." sqref="D3">
      <formula1>ValidGroupVisibilities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C2"/>
  <sheetViews>
    <sheetView workbookViewId="0">
      <selection activeCell="A2" sqref="A2"/>
    </sheetView>
  </sheetViews>
  <sheetFormatPr defaultRowHeight="15"/>
  <cols>
    <col min="1" max="1" width="9.42578125" style="1" bestFit="1" customWidth="1"/>
    <col min="2" max="2" width="9.140625" style="1"/>
    <col min="3" max="3" width="11.5703125" bestFit="1" customWidth="1"/>
    <col min="4" max="4" width="9.140625" customWidth="1"/>
  </cols>
  <sheetData>
    <row r="1" spans="1:3">
      <c r="A1" s="1" t="s">
        <v>145</v>
      </c>
      <c r="B1" s="1" t="s">
        <v>5</v>
      </c>
      <c r="C1" s="1" t="s">
        <v>148</v>
      </c>
    </row>
    <row r="2" spans="1:3">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sheetPr codeName="Sheet7"/>
  <dimension ref="A1:X144"/>
  <sheetViews>
    <sheetView workbookViewId="0">
      <selection activeCell="A2" sqref="A2"/>
    </sheetView>
  </sheetViews>
  <sheetFormatPr defaultRowHeight="1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c r="A1" s="13" t="s">
        <v>163</v>
      </c>
      <c r="B1" s="13" t="s">
        <v>17</v>
      </c>
      <c r="D1" t="s">
        <v>80</v>
      </c>
      <c r="E1" t="s">
        <v>81</v>
      </c>
      <c r="F1" s="37" t="s">
        <v>87</v>
      </c>
      <c r="G1" s="38" t="s">
        <v>88</v>
      </c>
      <c r="H1" s="37" t="s">
        <v>93</v>
      </c>
      <c r="I1" s="38" t="s">
        <v>94</v>
      </c>
      <c r="J1" s="37" t="s">
        <v>99</v>
      </c>
      <c r="K1" s="38" t="s">
        <v>100</v>
      </c>
      <c r="L1" s="37" t="s">
        <v>105</v>
      </c>
      <c r="M1" s="38" t="s">
        <v>106</v>
      </c>
      <c r="N1" s="37" t="s">
        <v>111</v>
      </c>
      <c r="O1" s="38" t="s">
        <v>112</v>
      </c>
      <c r="P1" s="38" t="s">
        <v>139</v>
      </c>
      <c r="Q1" s="38" t="s">
        <v>140</v>
      </c>
      <c r="R1" s="37" t="s">
        <v>117</v>
      </c>
      <c r="S1" s="37" t="s">
        <v>118</v>
      </c>
      <c r="T1" s="37" t="s">
        <v>123</v>
      </c>
      <c r="U1" s="38" t="s">
        <v>124</v>
      </c>
      <c r="W1" t="s">
        <v>128</v>
      </c>
      <c r="X1" t="s">
        <v>17</v>
      </c>
    </row>
    <row r="2" spans="1:24" ht="15.75" thickTop="1">
      <c r="A2" s="36"/>
      <c r="B2" s="36"/>
      <c r="D2" s="33">
        <f>MIN(Vertices[Degree])</f>
        <v>0</v>
      </c>
      <c r="E2" s="3">
        <f>COUNTIF(Vertices[Degree], "&gt;= " &amp; D2) - COUNTIF(Vertices[Degree], "&gt;=" &amp; D3)</f>
        <v>0</v>
      </c>
      <c r="F2" s="39">
        <f>MIN(Vertices[In-Degree])</f>
        <v>0</v>
      </c>
      <c r="G2" s="40">
        <f>COUNTIF(Vertices[In-Degree], "&gt;= " &amp; F2) - COUNTIF(Vertices[In-Degree], "&gt;=" &amp; F3)</f>
        <v>0</v>
      </c>
      <c r="H2" s="39">
        <f>MIN(Vertices[Out-Degree])</f>
        <v>0</v>
      </c>
      <c r="I2" s="40">
        <f>COUNTIF(Vertices[Out-Degree], "&gt;= " &amp; H2) - COUNTIF(Vertices[Out-Degree], "&gt;=" &amp; H3)</f>
        <v>0</v>
      </c>
      <c r="J2" s="39">
        <f>MIN(Vertices[Betweenness Centrality])</f>
        <v>0</v>
      </c>
      <c r="K2" s="40">
        <f>COUNTIF(Vertices[Betweenness Centrality], "&gt;= " &amp; J2) - COUNTIF(Vertices[Betweenness Centrality], "&gt;=" &amp; J3)</f>
        <v>0</v>
      </c>
      <c r="L2" s="39">
        <f>MIN(Vertices[Closeness Centrality])</f>
        <v>0</v>
      </c>
      <c r="M2" s="40">
        <f>COUNTIF(Vertices[Closeness Centrality], "&gt;= " &amp; L2) - COUNTIF(Vertices[Closeness Centrality], "&gt;=" &amp; L3)</f>
        <v>0</v>
      </c>
      <c r="N2" s="39">
        <f>MIN(Vertices[Eigenvector Centrality])</f>
        <v>0</v>
      </c>
      <c r="O2" s="40">
        <f>COUNTIF(Vertices[Eigenvector Centrality], "&gt;= " &amp; N2) - COUNTIF(Vertices[Eigenvector Centrality], "&gt;=" &amp; N3)</f>
        <v>0</v>
      </c>
      <c r="P2" s="39">
        <f>MIN(Vertices[PageRank])</f>
        <v>0</v>
      </c>
      <c r="Q2" s="40">
        <f>COUNTIF(Vertices[PageRank], "&gt;= " &amp; P2) - COUNTIF(Vertices[PageRank], "&gt;=" &amp; P3)</f>
        <v>0</v>
      </c>
      <c r="R2" s="39">
        <f>MIN(Vertices[Clustering Coefficient])</f>
        <v>0</v>
      </c>
      <c r="S2" s="45">
        <f>COUNTIF(Vertices[Clustering Coefficient], "&gt;= " &amp; R2) - COUNTIF(Vertices[Clustering Coefficient], "&gt;=" &amp; R3)</f>
        <v>0</v>
      </c>
      <c r="T2" s="39" t="e">
        <f ca="1">MIN(INDIRECT(DynamicFilterSourceColumnRange))</f>
        <v>#REF!</v>
      </c>
      <c r="U2" s="40" t="e">
        <f t="shared" ref="U2:U45" ca="1" si="0">COUNTIF(INDIRECT(DynamicFilterSourceColumnRange), "&gt;= " &amp; T2) - COUNTIF(INDIRECT(DynamicFilterSourceColumnRange), "&gt;=" &amp; T3)</f>
        <v>#REF!</v>
      </c>
      <c r="W2" t="s">
        <v>125</v>
      </c>
      <c r="X2">
        <f>ROWS(HistogramBins[Degree Bin]) - 1</f>
        <v>43</v>
      </c>
    </row>
    <row r="3" spans="1:24">
      <c r="A3" s="36"/>
      <c r="B3" s="36"/>
      <c r="D3" s="34">
        <f t="shared" ref="D3:D44" si="1">D2+($D$45-$D$2)/BinDivisor</f>
        <v>0</v>
      </c>
      <c r="E3" s="3">
        <f>COUNTIF(Vertices[Degree], "&gt;= " &amp; D3) - COUNTIF(Vertices[Degree], "&gt;=" &amp; D4)</f>
        <v>0</v>
      </c>
      <c r="F3" s="41">
        <f t="shared" ref="F3:F44" si="2">F2+($F$45-$F$2)/BinDivisor</f>
        <v>0</v>
      </c>
      <c r="G3" s="42">
        <f>COUNTIF(Vertices[In-Degree], "&gt;= " &amp; F3) - COUNTIF(Vertices[In-Degree], "&gt;=" &amp; F4)</f>
        <v>0</v>
      </c>
      <c r="H3" s="41">
        <f t="shared" ref="H3:H44" si="3">H2+($H$45-$H$2)/BinDivisor</f>
        <v>0</v>
      </c>
      <c r="I3" s="42">
        <f>COUNTIF(Vertices[Out-Degree], "&gt;= " &amp; H3) - COUNTIF(Vertices[Out-Degree], "&gt;=" &amp; H4)</f>
        <v>0</v>
      </c>
      <c r="J3" s="41">
        <f t="shared" ref="J3:J44" si="4">J2+($J$45-$J$2)/BinDivisor</f>
        <v>0</v>
      </c>
      <c r="K3" s="42">
        <f>COUNTIF(Vertices[Betweenness Centrality], "&gt;= " &amp; J3) - COUNTIF(Vertices[Betweenness Centrality], "&gt;=" &amp; J4)</f>
        <v>0</v>
      </c>
      <c r="L3" s="41">
        <f t="shared" ref="L3:L44" si="5">L2+($L$45-$L$2)/BinDivisor</f>
        <v>0</v>
      </c>
      <c r="M3" s="42">
        <f>COUNTIF(Vertices[Closeness Centrality], "&gt;= " &amp; L3) - COUNTIF(Vertices[Closeness Centrality], "&gt;=" &amp; L4)</f>
        <v>0</v>
      </c>
      <c r="N3" s="41">
        <f t="shared" ref="N3:N44" si="6">N2+($N$45-$N$2)/BinDivisor</f>
        <v>0</v>
      </c>
      <c r="O3" s="42">
        <f>COUNTIF(Vertices[Eigenvector Centrality], "&gt;= " &amp; N3) - COUNTIF(Vertices[Eigenvector Centrality], "&gt;=" &amp; N4)</f>
        <v>0</v>
      </c>
      <c r="P3" s="41">
        <f t="shared" ref="P3:P44" si="7">P2+($P$45-$P$2)/BinDivisor</f>
        <v>0</v>
      </c>
      <c r="Q3" s="42">
        <f>COUNTIF(Vertices[PageRank], "&gt;= " &amp; P3) - COUNTIF(Vertices[PageRank], "&gt;=" &amp; P4)</f>
        <v>0</v>
      </c>
      <c r="R3" s="41">
        <f t="shared" ref="R3:R44" si="8">R2+($R$45-$R$2)/BinDivisor</f>
        <v>0</v>
      </c>
      <c r="S3" s="46">
        <f>COUNTIF(Vertices[Clustering Coefficient], "&gt;= " &amp; R3) - COUNTIF(Vertices[Clustering Coefficient], "&gt;=" &amp; R4)</f>
        <v>0</v>
      </c>
      <c r="T3" s="41" t="e">
        <f t="shared" ref="T3:T44" ca="1" si="9">T2+($T$45-$T$2)/BinDivisor</f>
        <v>#REF!</v>
      </c>
      <c r="U3" s="42" t="e">
        <f t="shared" ca="1" si="0"/>
        <v>#REF!</v>
      </c>
      <c r="W3" t="s">
        <v>126</v>
      </c>
      <c r="X3" t="s">
        <v>86</v>
      </c>
    </row>
    <row r="4" spans="1:24">
      <c r="A4" s="36"/>
      <c r="B4" s="36"/>
      <c r="D4" s="34">
        <f t="shared" si="1"/>
        <v>0</v>
      </c>
      <c r="E4" s="3">
        <f>COUNTIF(Vertices[Degree], "&gt;= " &amp; D4) - COUNTIF(Vertices[Degree], "&gt;=" &amp; D5)</f>
        <v>0</v>
      </c>
      <c r="F4" s="39">
        <f t="shared" si="2"/>
        <v>0</v>
      </c>
      <c r="G4" s="40">
        <f>COUNTIF(Vertices[In-Degree], "&gt;= " &amp; F4) - COUNTIF(Vertices[In-Degree], "&gt;=" &amp; F5)</f>
        <v>0</v>
      </c>
      <c r="H4" s="39">
        <f t="shared" si="3"/>
        <v>0</v>
      </c>
      <c r="I4" s="40">
        <f>COUNTIF(Vertices[Out-Degree], "&gt;= " &amp; H4) - COUNTIF(Vertices[Out-Degree], "&gt;=" &amp; H5)</f>
        <v>0</v>
      </c>
      <c r="J4" s="39">
        <f t="shared" si="4"/>
        <v>0</v>
      </c>
      <c r="K4" s="40">
        <f>COUNTIF(Vertices[Betweenness Centrality], "&gt;= " &amp; J4) - COUNTIF(Vertices[Betweenness Centrality], "&gt;=" &amp; J5)</f>
        <v>0</v>
      </c>
      <c r="L4" s="39">
        <f t="shared" si="5"/>
        <v>0</v>
      </c>
      <c r="M4" s="40">
        <f>COUNTIF(Vertices[Closeness Centrality], "&gt;= " &amp; L4) - COUNTIF(Vertices[Closeness Centrality], "&gt;=" &amp; L5)</f>
        <v>0</v>
      </c>
      <c r="N4" s="39">
        <f t="shared" si="6"/>
        <v>0</v>
      </c>
      <c r="O4" s="40">
        <f>COUNTIF(Vertices[Eigenvector Centrality], "&gt;= " &amp; N4) - COUNTIF(Vertices[Eigenvector Centrality], "&gt;=" &amp; N5)</f>
        <v>0</v>
      </c>
      <c r="P4" s="39">
        <f t="shared" si="7"/>
        <v>0</v>
      </c>
      <c r="Q4" s="40">
        <f>COUNTIF(Vertices[PageRank], "&gt;= " &amp; P4) - COUNTIF(Vertices[PageRank], "&gt;=" &amp; P5)</f>
        <v>0</v>
      </c>
      <c r="R4" s="39">
        <f t="shared" si="8"/>
        <v>0</v>
      </c>
      <c r="S4" s="45">
        <f>COUNTIF(Vertices[Clustering Coefficient], "&gt;= " &amp; R4) - COUNTIF(Vertices[Clustering Coefficient], "&gt;=" &amp; R5)</f>
        <v>0</v>
      </c>
      <c r="T4" s="39" t="e">
        <f t="shared" ca="1" si="9"/>
        <v>#REF!</v>
      </c>
      <c r="U4" s="40" t="e">
        <f t="shared" ca="1" si="0"/>
        <v>#REF!</v>
      </c>
      <c r="W4" s="12" t="s">
        <v>127</v>
      </c>
      <c r="X4" s="12" t="s">
        <v>129</v>
      </c>
    </row>
    <row r="5" spans="1:24">
      <c r="A5" s="36"/>
      <c r="B5" s="36"/>
      <c r="D5" s="34">
        <f t="shared" si="1"/>
        <v>0</v>
      </c>
      <c r="E5" s="3">
        <f>COUNTIF(Vertices[Degree], "&gt;= " &amp; D5) - COUNTIF(Vertices[Degree], "&gt;=" &amp; D6)</f>
        <v>0</v>
      </c>
      <c r="F5" s="41">
        <f t="shared" si="2"/>
        <v>0</v>
      </c>
      <c r="G5" s="42">
        <f>COUNTIF(Vertices[In-Degree], "&gt;= " &amp; F5) - COUNTIF(Vertices[In-Degree], "&gt;=" &amp; F6)</f>
        <v>0</v>
      </c>
      <c r="H5" s="41">
        <f t="shared" si="3"/>
        <v>0</v>
      </c>
      <c r="I5" s="42">
        <f>COUNTIF(Vertices[Out-Degree], "&gt;= " &amp; H5) - COUNTIF(Vertices[Out-Degree], "&gt;=" &amp; H6)</f>
        <v>0</v>
      </c>
      <c r="J5" s="41">
        <f t="shared" si="4"/>
        <v>0</v>
      </c>
      <c r="K5" s="42">
        <f>COUNTIF(Vertices[Betweenness Centrality], "&gt;= " &amp; J5) - COUNTIF(Vertices[Betweenness Centrality], "&gt;=" &amp; J6)</f>
        <v>0</v>
      </c>
      <c r="L5" s="41">
        <f t="shared" si="5"/>
        <v>0</v>
      </c>
      <c r="M5" s="42">
        <f>COUNTIF(Vertices[Closeness Centrality], "&gt;= " &amp; L5) - COUNTIF(Vertices[Closeness Centrality], "&gt;=" &amp; L6)</f>
        <v>0</v>
      </c>
      <c r="N5" s="41">
        <f t="shared" si="6"/>
        <v>0</v>
      </c>
      <c r="O5" s="42">
        <f>COUNTIF(Vertices[Eigenvector Centrality], "&gt;= " &amp; N5) - COUNTIF(Vertices[Eigenvector Centrality], "&gt;=" &amp; N6)</f>
        <v>0</v>
      </c>
      <c r="P5" s="41">
        <f t="shared" si="7"/>
        <v>0</v>
      </c>
      <c r="Q5" s="42">
        <f>COUNTIF(Vertices[PageRank], "&gt;= " &amp; P5) - COUNTIF(Vertices[PageRank], "&gt;=" &amp; P6)</f>
        <v>0</v>
      </c>
      <c r="R5" s="41">
        <f t="shared" si="8"/>
        <v>0</v>
      </c>
      <c r="S5" s="46">
        <f>COUNTIF(Vertices[Clustering Coefficient], "&gt;= " &amp; R5) - COUNTIF(Vertices[Clustering Coefficient], "&gt;=" &amp; R6)</f>
        <v>0</v>
      </c>
      <c r="T5" s="41" t="e">
        <f t="shared" ca="1" si="9"/>
        <v>#REF!</v>
      </c>
      <c r="U5" s="42" t="e">
        <f t="shared" ca="1" si="0"/>
        <v>#REF!</v>
      </c>
    </row>
    <row r="6" spans="1:24">
      <c r="A6" s="36"/>
      <c r="B6" s="36"/>
      <c r="D6" s="34">
        <f t="shared" si="1"/>
        <v>0</v>
      </c>
      <c r="E6" s="3">
        <f>COUNTIF(Vertices[Degree], "&gt;= " &amp; D6) - COUNTIF(Vertices[Degree], "&gt;=" &amp; D7)</f>
        <v>0</v>
      </c>
      <c r="F6" s="39">
        <f t="shared" si="2"/>
        <v>0</v>
      </c>
      <c r="G6" s="40">
        <f>COUNTIF(Vertices[In-Degree], "&gt;= " &amp; F6) - COUNTIF(Vertices[In-Degree], "&gt;=" &amp; F7)</f>
        <v>0</v>
      </c>
      <c r="H6" s="39">
        <f t="shared" si="3"/>
        <v>0</v>
      </c>
      <c r="I6" s="40">
        <f>COUNTIF(Vertices[Out-Degree], "&gt;= " &amp; H6) - COUNTIF(Vertices[Out-Degree], "&gt;=" &amp; H7)</f>
        <v>0</v>
      </c>
      <c r="J6" s="39">
        <f t="shared" si="4"/>
        <v>0</v>
      </c>
      <c r="K6" s="40">
        <f>COUNTIF(Vertices[Betweenness Centrality], "&gt;= " &amp; J6) - COUNTIF(Vertices[Betweenness Centrality], "&gt;=" &amp; J7)</f>
        <v>0</v>
      </c>
      <c r="L6" s="39">
        <f t="shared" si="5"/>
        <v>0</v>
      </c>
      <c r="M6" s="40">
        <f>COUNTIF(Vertices[Closeness Centrality], "&gt;= " &amp; L6) - COUNTIF(Vertices[Closeness Centrality], "&gt;=" &amp; L7)</f>
        <v>0</v>
      </c>
      <c r="N6" s="39">
        <f t="shared" si="6"/>
        <v>0</v>
      </c>
      <c r="O6" s="40">
        <f>COUNTIF(Vertices[Eigenvector Centrality], "&gt;= " &amp; N6) - COUNTIF(Vertices[Eigenvector Centrality], "&gt;=" &amp; N7)</f>
        <v>0</v>
      </c>
      <c r="P6" s="39">
        <f t="shared" si="7"/>
        <v>0</v>
      </c>
      <c r="Q6" s="40">
        <f>COUNTIF(Vertices[PageRank], "&gt;= " &amp; P6) - COUNTIF(Vertices[PageRank], "&gt;=" &amp; P7)</f>
        <v>0</v>
      </c>
      <c r="R6" s="39">
        <f t="shared" si="8"/>
        <v>0</v>
      </c>
      <c r="S6" s="45">
        <f>COUNTIF(Vertices[Clustering Coefficient], "&gt;= " &amp; R6) - COUNTIF(Vertices[Clustering Coefficient], "&gt;=" &amp; R7)</f>
        <v>0</v>
      </c>
      <c r="T6" s="39" t="e">
        <f t="shared" ca="1" si="9"/>
        <v>#REF!</v>
      </c>
      <c r="U6" s="40" t="e">
        <f t="shared" ca="1" si="0"/>
        <v>#REF!</v>
      </c>
    </row>
    <row r="7" spans="1:24">
      <c r="A7" s="36"/>
      <c r="B7" s="36"/>
      <c r="D7" s="34">
        <f t="shared" si="1"/>
        <v>0</v>
      </c>
      <c r="E7" s="3">
        <f>COUNTIF(Vertices[Degree], "&gt;= " &amp; D7) - COUNTIF(Vertices[Degree], "&gt;=" &amp; D8)</f>
        <v>0</v>
      </c>
      <c r="F7" s="41">
        <f t="shared" si="2"/>
        <v>0</v>
      </c>
      <c r="G7" s="42">
        <f>COUNTIF(Vertices[In-Degree], "&gt;= " &amp; F7) - COUNTIF(Vertices[In-Degree], "&gt;=" &amp; F8)</f>
        <v>0</v>
      </c>
      <c r="H7" s="41">
        <f t="shared" si="3"/>
        <v>0</v>
      </c>
      <c r="I7" s="42">
        <f>COUNTIF(Vertices[Out-Degree], "&gt;= " &amp; H7) - COUNTIF(Vertices[Out-Degree], "&gt;=" &amp; H8)</f>
        <v>0</v>
      </c>
      <c r="J7" s="41">
        <f t="shared" si="4"/>
        <v>0</v>
      </c>
      <c r="K7" s="42">
        <f>COUNTIF(Vertices[Betweenness Centrality], "&gt;= " &amp; J7) - COUNTIF(Vertices[Betweenness Centrality], "&gt;=" &amp; J8)</f>
        <v>0</v>
      </c>
      <c r="L7" s="41">
        <f t="shared" si="5"/>
        <v>0</v>
      </c>
      <c r="M7" s="42">
        <f>COUNTIF(Vertices[Closeness Centrality], "&gt;= " &amp; L7) - COUNTIF(Vertices[Closeness Centrality], "&gt;=" &amp; L8)</f>
        <v>0</v>
      </c>
      <c r="N7" s="41">
        <f t="shared" si="6"/>
        <v>0</v>
      </c>
      <c r="O7" s="42">
        <f>COUNTIF(Vertices[Eigenvector Centrality], "&gt;= " &amp; N7) - COUNTIF(Vertices[Eigenvector Centrality], "&gt;=" &amp; N8)</f>
        <v>0</v>
      </c>
      <c r="P7" s="41">
        <f t="shared" si="7"/>
        <v>0</v>
      </c>
      <c r="Q7" s="42">
        <f>COUNTIF(Vertices[PageRank], "&gt;= " &amp; P7) - COUNTIF(Vertices[PageRank], "&gt;=" &amp; P8)</f>
        <v>0</v>
      </c>
      <c r="R7" s="41">
        <f t="shared" si="8"/>
        <v>0</v>
      </c>
      <c r="S7" s="46">
        <f>COUNTIF(Vertices[Clustering Coefficient], "&gt;= " &amp; R7) - COUNTIF(Vertices[Clustering Coefficient], "&gt;=" &amp; R8)</f>
        <v>0</v>
      </c>
      <c r="T7" s="41" t="e">
        <f t="shared" ca="1" si="9"/>
        <v>#REF!</v>
      </c>
      <c r="U7" s="42" t="e">
        <f t="shared" ca="1" si="0"/>
        <v>#REF!</v>
      </c>
    </row>
    <row r="8" spans="1:24">
      <c r="A8" s="36"/>
      <c r="B8" s="36"/>
      <c r="D8" s="34">
        <f t="shared" si="1"/>
        <v>0</v>
      </c>
      <c r="E8" s="3">
        <f>COUNTIF(Vertices[Degree], "&gt;= " &amp; D8) - COUNTIF(Vertices[Degree], "&gt;=" &amp; D9)</f>
        <v>0</v>
      </c>
      <c r="F8" s="39">
        <f t="shared" si="2"/>
        <v>0</v>
      </c>
      <c r="G8" s="40">
        <f>COUNTIF(Vertices[In-Degree], "&gt;= " &amp; F8) - COUNTIF(Vertices[In-Degree], "&gt;=" &amp; F9)</f>
        <v>0</v>
      </c>
      <c r="H8" s="39">
        <f t="shared" si="3"/>
        <v>0</v>
      </c>
      <c r="I8" s="40">
        <f>COUNTIF(Vertices[Out-Degree], "&gt;= " &amp; H8) - COUNTIF(Vertices[Out-Degree], "&gt;=" &amp; H9)</f>
        <v>0</v>
      </c>
      <c r="J8" s="39">
        <f t="shared" si="4"/>
        <v>0</v>
      </c>
      <c r="K8" s="40">
        <f>COUNTIF(Vertices[Betweenness Centrality], "&gt;= " &amp; J8) - COUNTIF(Vertices[Betweenness Centrality], "&gt;=" &amp; J9)</f>
        <v>0</v>
      </c>
      <c r="L8" s="39">
        <f t="shared" si="5"/>
        <v>0</v>
      </c>
      <c r="M8" s="40">
        <f>COUNTIF(Vertices[Closeness Centrality], "&gt;= " &amp; L8) - COUNTIF(Vertices[Closeness Centrality], "&gt;=" &amp; L9)</f>
        <v>0</v>
      </c>
      <c r="N8" s="39">
        <f t="shared" si="6"/>
        <v>0</v>
      </c>
      <c r="O8" s="40">
        <f>COUNTIF(Vertices[Eigenvector Centrality], "&gt;= " &amp; N8) - COUNTIF(Vertices[Eigenvector Centrality], "&gt;=" &amp; N9)</f>
        <v>0</v>
      </c>
      <c r="P8" s="39">
        <f t="shared" si="7"/>
        <v>0</v>
      </c>
      <c r="Q8" s="40">
        <f>COUNTIF(Vertices[PageRank], "&gt;= " &amp; P8) - COUNTIF(Vertices[PageRank], "&gt;=" &amp; P9)</f>
        <v>0</v>
      </c>
      <c r="R8" s="39">
        <f t="shared" si="8"/>
        <v>0</v>
      </c>
      <c r="S8" s="45">
        <f>COUNTIF(Vertices[Clustering Coefficient], "&gt;= " &amp; R8) - COUNTIF(Vertices[Clustering Coefficient], "&gt;=" &amp; R9)</f>
        <v>0</v>
      </c>
      <c r="T8" s="39" t="e">
        <f t="shared" ca="1" si="9"/>
        <v>#REF!</v>
      </c>
      <c r="U8" s="40" t="e">
        <f t="shared" ca="1" si="0"/>
        <v>#REF!</v>
      </c>
    </row>
    <row r="9" spans="1:24">
      <c r="A9" s="36"/>
      <c r="B9" s="36"/>
      <c r="D9" s="34">
        <f t="shared" si="1"/>
        <v>0</v>
      </c>
      <c r="E9" s="3">
        <f>COUNTIF(Vertices[Degree], "&gt;= " &amp; D9) - COUNTIF(Vertices[Degree], "&gt;=" &amp; D10)</f>
        <v>0</v>
      </c>
      <c r="F9" s="41">
        <f t="shared" si="2"/>
        <v>0</v>
      </c>
      <c r="G9" s="42">
        <f>COUNTIF(Vertices[In-Degree], "&gt;= " &amp; F9) - COUNTIF(Vertices[In-Degree], "&gt;=" &amp; F10)</f>
        <v>0</v>
      </c>
      <c r="H9" s="41">
        <f t="shared" si="3"/>
        <v>0</v>
      </c>
      <c r="I9" s="42">
        <f>COUNTIF(Vertices[Out-Degree], "&gt;= " &amp; H9) - COUNTIF(Vertices[Out-Degree], "&gt;=" &amp; H10)</f>
        <v>0</v>
      </c>
      <c r="J9" s="41">
        <f t="shared" si="4"/>
        <v>0</v>
      </c>
      <c r="K9" s="42">
        <f>COUNTIF(Vertices[Betweenness Centrality], "&gt;= " &amp; J9) - COUNTIF(Vertices[Betweenness Centrality], "&gt;=" &amp; J10)</f>
        <v>0</v>
      </c>
      <c r="L9" s="41">
        <f t="shared" si="5"/>
        <v>0</v>
      </c>
      <c r="M9" s="42">
        <f>COUNTIF(Vertices[Closeness Centrality], "&gt;= " &amp; L9) - COUNTIF(Vertices[Closeness Centrality], "&gt;=" &amp; L10)</f>
        <v>0</v>
      </c>
      <c r="N9" s="41">
        <f t="shared" si="6"/>
        <v>0</v>
      </c>
      <c r="O9" s="42">
        <f>COUNTIF(Vertices[Eigenvector Centrality], "&gt;= " &amp; N9) - COUNTIF(Vertices[Eigenvector Centrality], "&gt;=" &amp; N10)</f>
        <v>0</v>
      </c>
      <c r="P9" s="41">
        <f t="shared" si="7"/>
        <v>0</v>
      </c>
      <c r="Q9" s="42">
        <f>COUNTIF(Vertices[PageRank], "&gt;= " &amp; P9) - COUNTIF(Vertices[PageRank], "&gt;=" &amp; P10)</f>
        <v>0</v>
      </c>
      <c r="R9" s="41">
        <f t="shared" si="8"/>
        <v>0</v>
      </c>
      <c r="S9" s="46">
        <f>COUNTIF(Vertices[Clustering Coefficient], "&gt;= " &amp; R9) - COUNTIF(Vertices[Clustering Coefficient], "&gt;=" &amp; R10)</f>
        <v>0</v>
      </c>
      <c r="T9" s="41" t="e">
        <f t="shared" ca="1" si="9"/>
        <v>#REF!</v>
      </c>
      <c r="U9" s="42" t="e">
        <f t="shared" ca="1" si="0"/>
        <v>#REF!</v>
      </c>
    </row>
    <row r="10" spans="1:24">
      <c r="A10" s="36"/>
      <c r="B10" s="36"/>
      <c r="D10" s="34">
        <f t="shared" si="1"/>
        <v>0</v>
      </c>
      <c r="E10" s="3">
        <f>COUNTIF(Vertices[Degree], "&gt;= " &amp; D10) - COUNTIF(Vertices[Degree], "&gt;=" &amp; D11)</f>
        <v>0</v>
      </c>
      <c r="F10" s="39">
        <f t="shared" si="2"/>
        <v>0</v>
      </c>
      <c r="G10" s="40">
        <f>COUNTIF(Vertices[In-Degree], "&gt;= " &amp; F10) - COUNTIF(Vertices[In-Degree], "&gt;=" &amp; F11)</f>
        <v>0</v>
      </c>
      <c r="H10" s="39">
        <f t="shared" si="3"/>
        <v>0</v>
      </c>
      <c r="I10" s="40">
        <f>COUNTIF(Vertices[Out-Degree], "&gt;= " &amp; H10) - COUNTIF(Vertices[Out-Degree], "&gt;=" &amp; H11)</f>
        <v>0</v>
      </c>
      <c r="J10" s="39">
        <f t="shared" si="4"/>
        <v>0</v>
      </c>
      <c r="K10" s="40">
        <f>COUNTIF(Vertices[Betweenness Centrality], "&gt;= " &amp; J10) - COUNTIF(Vertices[Betweenness Centrality], "&gt;=" &amp; J11)</f>
        <v>0</v>
      </c>
      <c r="L10" s="39">
        <f t="shared" si="5"/>
        <v>0</v>
      </c>
      <c r="M10" s="40">
        <f>COUNTIF(Vertices[Closeness Centrality], "&gt;= " &amp; L10) - COUNTIF(Vertices[Closeness Centrality], "&gt;=" &amp; L11)</f>
        <v>0</v>
      </c>
      <c r="N10" s="39">
        <f t="shared" si="6"/>
        <v>0</v>
      </c>
      <c r="O10" s="40">
        <f>COUNTIF(Vertices[Eigenvector Centrality], "&gt;= " &amp; N10) - COUNTIF(Vertices[Eigenvector Centrality], "&gt;=" &amp; N11)</f>
        <v>0</v>
      </c>
      <c r="P10" s="39">
        <f t="shared" si="7"/>
        <v>0</v>
      </c>
      <c r="Q10" s="40">
        <f>COUNTIF(Vertices[PageRank], "&gt;= " &amp; P10) - COUNTIF(Vertices[PageRank], "&gt;=" &amp; P11)</f>
        <v>0</v>
      </c>
      <c r="R10" s="39">
        <f t="shared" si="8"/>
        <v>0</v>
      </c>
      <c r="S10" s="45">
        <f>COUNTIF(Vertices[Clustering Coefficient], "&gt;= " &amp; R10) - COUNTIF(Vertices[Clustering Coefficient], "&gt;=" &amp; R11)</f>
        <v>0</v>
      </c>
      <c r="T10" s="39" t="e">
        <f t="shared" ca="1" si="9"/>
        <v>#REF!</v>
      </c>
      <c r="U10" s="40" t="e">
        <f t="shared" ca="1" si="0"/>
        <v>#REF!</v>
      </c>
    </row>
    <row r="11" spans="1:24">
      <c r="A11" s="36"/>
      <c r="B11" s="36"/>
      <c r="D11" s="34">
        <f t="shared" si="1"/>
        <v>0</v>
      </c>
      <c r="E11" s="3">
        <f>COUNTIF(Vertices[Degree], "&gt;= " &amp; D11) - COUNTIF(Vertices[Degree], "&gt;=" &amp; D12)</f>
        <v>0</v>
      </c>
      <c r="F11" s="41">
        <f t="shared" si="2"/>
        <v>0</v>
      </c>
      <c r="G11" s="42">
        <f>COUNTIF(Vertices[In-Degree], "&gt;= " &amp; F11) - COUNTIF(Vertices[In-Degree], "&gt;=" &amp; F12)</f>
        <v>0</v>
      </c>
      <c r="H11" s="41">
        <f t="shared" si="3"/>
        <v>0</v>
      </c>
      <c r="I11" s="42">
        <f>COUNTIF(Vertices[Out-Degree], "&gt;= " &amp; H11) - COUNTIF(Vertices[Out-Degree], "&gt;=" &amp; H12)</f>
        <v>0</v>
      </c>
      <c r="J11" s="41">
        <f t="shared" si="4"/>
        <v>0</v>
      </c>
      <c r="K11" s="42">
        <f>COUNTIF(Vertices[Betweenness Centrality], "&gt;= " &amp; J11) - COUNTIF(Vertices[Betweenness Centrality], "&gt;=" &amp; J12)</f>
        <v>0</v>
      </c>
      <c r="L11" s="41">
        <f t="shared" si="5"/>
        <v>0</v>
      </c>
      <c r="M11" s="42">
        <f>COUNTIF(Vertices[Closeness Centrality], "&gt;= " &amp; L11) - COUNTIF(Vertices[Closeness Centrality], "&gt;=" &amp; L12)</f>
        <v>0</v>
      </c>
      <c r="N11" s="41">
        <f t="shared" si="6"/>
        <v>0</v>
      </c>
      <c r="O11" s="42">
        <f>COUNTIF(Vertices[Eigenvector Centrality], "&gt;= " &amp; N11) - COUNTIF(Vertices[Eigenvector Centrality], "&gt;=" &amp; N12)</f>
        <v>0</v>
      </c>
      <c r="P11" s="41">
        <f t="shared" si="7"/>
        <v>0</v>
      </c>
      <c r="Q11" s="42">
        <f>COUNTIF(Vertices[PageRank], "&gt;= " &amp; P11) - COUNTIF(Vertices[PageRank], "&gt;=" &amp; P12)</f>
        <v>0</v>
      </c>
      <c r="R11" s="41">
        <f t="shared" si="8"/>
        <v>0</v>
      </c>
      <c r="S11" s="46">
        <f>COUNTIF(Vertices[Clustering Coefficient], "&gt;= " &amp; R11) - COUNTIF(Vertices[Clustering Coefficient], "&gt;=" &amp; R12)</f>
        <v>0</v>
      </c>
      <c r="T11" s="41" t="e">
        <f t="shared" ca="1" si="9"/>
        <v>#REF!</v>
      </c>
      <c r="U11" s="42" t="e">
        <f t="shared" ca="1" si="0"/>
        <v>#REF!</v>
      </c>
    </row>
    <row r="12" spans="1:24">
      <c r="A12" s="36"/>
      <c r="B12" s="36"/>
      <c r="D12" s="34">
        <f t="shared" si="1"/>
        <v>0</v>
      </c>
      <c r="E12" s="3">
        <f>COUNTIF(Vertices[Degree], "&gt;= " &amp; D12) - COUNTIF(Vertices[Degree], "&gt;=" &amp; D13)</f>
        <v>0</v>
      </c>
      <c r="F12" s="39">
        <f t="shared" si="2"/>
        <v>0</v>
      </c>
      <c r="G12" s="40">
        <f>COUNTIF(Vertices[In-Degree], "&gt;= " &amp; F12) - COUNTIF(Vertices[In-Degree], "&gt;=" &amp; F13)</f>
        <v>0</v>
      </c>
      <c r="H12" s="39">
        <f t="shared" si="3"/>
        <v>0</v>
      </c>
      <c r="I12" s="40">
        <f>COUNTIF(Vertices[Out-Degree], "&gt;= " &amp; H12) - COUNTIF(Vertices[Out-Degree], "&gt;=" &amp; H13)</f>
        <v>0</v>
      </c>
      <c r="J12" s="39">
        <f t="shared" si="4"/>
        <v>0</v>
      </c>
      <c r="K12" s="40">
        <f>COUNTIF(Vertices[Betweenness Centrality], "&gt;= " &amp; J12) - COUNTIF(Vertices[Betweenness Centrality], "&gt;=" &amp; J13)</f>
        <v>0</v>
      </c>
      <c r="L12" s="39">
        <f t="shared" si="5"/>
        <v>0</v>
      </c>
      <c r="M12" s="40">
        <f>COUNTIF(Vertices[Closeness Centrality], "&gt;= " &amp; L12) - COUNTIF(Vertices[Closeness Centrality], "&gt;=" &amp; L13)</f>
        <v>0</v>
      </c>
      <c r="N12" s="39">
        <f t="shared" si="6"/>
        <v>0</v>
      </c>
      <c r="O12" s="40">
        <f>COUNTIF(Vertices[Eigenvector Centrality], "&gt;= " &amp; N12) - COUNTIF(Vertices[Eigenvector Centrality], "&gt;=" &amp; N13)</f>
        <v>0</v>
      </c>
      <c r="P12" s="39">
        <f t="shared" si="7"/>
        <v>0</v>
      </c>
      <c r="Q12" s="40">
        <f>COUNTIF(Vertices[PageRank], "&gt;= " &amp; P12) - COUNTIF(Vertices[PageRank], "&gt;=" &amp; P13)</f>
        <v>0</v>
      </c>
      <c r="R12" s="39">
        <f t="shared" si="8"/>
        <v>0</v>
      </c>
      <c r="S12" s="45">
        <f>COUNTIF(Vertices[Clustering Coefficient], "&gt;= " &amp; R12) - COUNTIF(Vertices[Clustering Coefficient], "&gt;=" &amp; R13)</f>
        <v>0</v>
      </c>
      <c r="T12" s="39" t="e">
        <f t="shared" ca="1" si="9"/>
        <v>#REF!</v>
      </c>
      <c r="U12" s="40" t="e">
        <f t="shared" ca="1" si="0"/>
        <v>#REF!</v>
      </c>
    </row>
    <row r="13" spans="1:24">
      <c r="A13" s="36"/>
      <c r="B13" s="36"/>
      <c r="D13" s="34">
        <f t="shared" si="1"/>
        <v>0</v>
      </c>
      <c r="E13" s="3">
        <f>COUNTIF(Vertices[Degree], "&gt;= " &amp; D13) - COUNTIF(Vertices[Degree], "&gt;=" &amp; D14)</f>
        <v>0</v>
      </c>
      <c r="F13" s="41">
        <f t="shared" si="2"/>
        <v>0</v>
      </c>
      <c r="G13" s="42">
        <f>COUNTIF(Vertices[In-Degree], "&gt;= " &amp; F13) - COUNTIF(Vertices[In-Degree], "&gt;=" &amp; F14)</f>
        <v>0</v>
      </c>
      <c r="H13" s="41">
        <f t="shared" si="3"/>
        <v>0</v>
      </c>
      <c r="I13" s="42">
        <f>COUNTIF(Vertices[Out-Degree], "&gt;= " &amp; H13) - COUNTIF(Vertices[Out-Degree], "&gt;=" &amp; H14)</f>
        <v>0</v>
      </c>
      <c r="J13" s="41">
        <f t="shared" si="4"/>
        <v>0</v>
      </c>
      <c r="K13" s="42">
        <f>COUNTIF(Vertices[Betweenness Centrality], "&gt;= " &amp; J13) - COUNTIF(Vertices[Betweenness Centrality], "&gt;=" &amp; J14)</f>
        <v>0</v>
      </c>
      <c r="L13" s="41">
        <f t="shared" si="5"/>
        <v>0</v>
      </c>
      <c r="M13" s="42">
        <f>COUNTIF(Vertices[Closeness Centrality], "&gt;= " &amp; L13) - COUNTIF(Vertices[Closeness Centrality], "&gt;=" &amp; L14)</f>
        <v>0</v>
      </c>
      <c r="N13" s="41">
        <f t="shared" si="6"/>
        <v>0</v>
      </c>
      <c r="O13" s="42">
        <f>COUNTIF(Vertices[Eigenvector Centrality], "&gt;= " &amp; N13) - COUNTIF(Vertices[Eigenvector Centrality], "&gt;=" &amp; N14)</f>
        <v>0</v>
      </c>
      <c r="P13" s="41">
        <f t="shared" si="7"/>
        <v>0</v>
      </c>
      <c r="Q13" s="42">
        <f>COUNTIF(Vertices[PageRank], "&gt;= " &amp; P13) - COUNTIF(Vertices[PageRank], "&gt;=" &amp; P14)</f>
        <v>0</v>
      </c>
      <c r="R13" s="41">
        <f t="shared" si="8"/>
        <v>0</v>
      </c>
      <c r="S13" s="46">
        <f>COUNTIF(Vertices[Clustering Coefficient], "&gt;= " &amp; R13) - COUNTIF(Vertices[Clustering Coefficient], "&gt;=" &amp; R14)</f>
        <v>0</v>
      </c>
      <c r="T13" s="41" t="e">
        <f t="shared" ca="1" si="9"/>
        <v>#REF!</v>
      </c>
      <c r="U13" s="42" t="e">
        <f t="shared" ca="1" si="0"/>
        <v>#REF!</v>
      </c>
    </row>
    <row r="14" spans="1:24">
      <c r="A14" s="36"/>
      <c r="B14" s="36"/>
      <c r="D14" s="34">
        <f t="shared" si="1"/>
        <v>0</v>
      </c>
      <c r="E14" s="3">
        <f>COUNTIF(Vertices[Degree], "&gt;= " &amp; D14) - COUNTIF(Vertices[Degree], "&gt;=" &amp; D15)</f>
        <v>0</v>
      </c>
      <c r="F14" s="39">
        <f t="shared" si="2"/>
        <v>0</v>
      </c>
      <c r="G14" s="40">
        <f>COUNTIF(Vertices[In-Degree], "&gt;= " &amp; F14) - COUNTIF(Vertices[In-Degree], "&gt;=" &amp; F15)</f>
        <v>0</v>
      </c>
      <c r="H14" s="39">
        <f t="shared" si="3"/>
        <v>0</v>
      </c>
      <c r="I14" s="40">
        <f>COUNTIF(Vertices[Out-Degree], "&gt;= " &amp; H14) - COUNTIF(Vertices[Out-Degree], "&gt;=" &amp; H15)</f>
        <v>0</v>
      </c>
      <c r="J14" s="39">
        <f t="shared" si="4"/>
        <v>0</v>
      </c>
      <c r="K14" s="40">
        <f>COUNTIF(Vertices[Betweenness Centrality], "&gt;= " &amp; J14) - COUNTIF(Vertices[Betweenness Centrality], "&gt;=" &amp; J15)</f>
        <v>0</v>
      </c>
      <c r="L14" s="39">
        <f t="shared" si="5"/>
        <v>0</v>
      </c>
      <c r="M14" s="40">
        <f>COUNTIF(Vertices[Closeness Centrality], "&gt;= " &amp; L14) - COUNTIF(Vertices[Closeness Centrality], "&gt;=" &amp; L15)</f>
        <v>0</v>
      </c>
      <c r="N14" s="39">
        <f t="shared" si="6"/>
        <v>0</v>
      </c>
      <c r="O14" s="40">
        <f>COUNTIF(Vertices[Eigenvector Centrality], "&gt;= " &amp; N14) - COUNTIF(Vertices[Eigenvector Centrality], "&gt;=" &amp; N15)</f>
        <v>0</v>
      </c>
      <c r="P14" s="39">
        <f t="shared" si="7"/>
        <v>0</v>
      </c>
      <c r="Q14" s="40">
        <f>COUNTIF(Vertices[PageRank], "&gt;= " &amp; P14) - COUNTIF(Vertices[PageRank], "&gt;=" &amp; P15)</f>
        <v>0</v>
      </c>
      <c r="R14" s="39">
        <f t="shared" si="8"/>
        <v>0</v>
      </c>
      <c r="S14" s="45">
        <f>COUNTIF(Vertices[Clustering Coefficient], "&gt;= " &amp; R14) - COUNTIF(Vertices[Clustering Coefficient], "&gt;=" &amp; R15)</f>
        <v>0</v>
      </c>
      <c r="T14" s="39" t="e">
        <f t="shared" ca="1" si="9"/>
        <v>#REF!</v>
      </c>
      <c r="U14" s="40" t="e">
        <f t="shared" ca="1" si="0"/>
        <v>#REF!</v>
      </c>
    </row>
    <row r="15" spans="1:24">
      <c r="A15" s="36"/>
      <c r="B15" s="36"/>
      <c r="D15" s="34">
        <f t="shared" si="1"/>
        <v>0</v>
      </c>
      <c r="E15" s="3">
        <f>COUNTIF(Vertices[Degree], "&gt;= " &amp; D15) - COUNTIF(Vertices[Degree], "&gt;=" &amp; D16)</f>
        <v>0</v>
      </c>
      <c r="F15" s="41">
        <f t="shared" si="2"/>
        <v>0</v>
      </c>
      <c r="G15" s="42">
        <f>COUNTIF(Vertices[In-Degree], "&gt;= " &amp; F15) - COUNTIF(Vertices[In-Degree], "&gt;=" &amp; F16)</f>
        <v>0</v>
      </c>
      <c r="H15" s="41">
        <f t="shared" si="3"/>
        <v>0</v>
      </c>
      <c r="I15" s="42">
        <f>COUNTIF(Vertices[Out-Degree], "&gt;= " &amp; H15) - COUNTIF(Vertices[Out-Degree], "&gt;=" &amp; H16)</f>
        <v>0</v>
      </c>
      <c r="J15" s="41">
        <f t="shared" si="4"/>
        <v>0</v>
      </c>
      <c r="K15" s="42">
        <f>COUNTIF(Vertices[Betweenness Centrality], "&gt;= " &amp; J15) - COUNTIF(Vertices[Betweenness Centrality], "&gt;=" &amp; J16)</f>
        <v>0</v>
      </c>
      <c r="L15" s="41">
        <f t="shared" si="5"/>
        <v>0</v>
      </c>
      <c r="M15" s="42">
        <f>COUNTIF(Vertices[Closeness Centrality], "&gt;= " &amp; L15) - COUNTIF(Vertices[Closeness Centrality], "&gt;=" &amp; L16)</f>
        <v>0</v>
      </c>
      <c r="N15" s="41">
        <f t="shared" si="6"/>
        <v>0</v>
      </c>
      <c r="O15" s="42">
        <f>COUNTIF(Vertices[Eigenvector Centrality], "&gt;= " &amp; N15) - COUNTIF(Vertices[Eigenvector Centrality], "&gt;=" &amp; N16)</f>
        <v>0</v>
      </c>
      <c r="P15" s="41">
        <f t="shared" si="7"/>
        <v>0</v>
      </c>
      <c r="Q15" s="42">
        <f>COUNTIF(Vertices[PageRank], "&gt;= " &amp; P15) - COUNTIF(Vertices[PageRank], "&gt;=" &amp; P16)</f>
        <v>0</v>
      </c>
      <c r="R15" s="41">
        <f t="shared" si="8"/>
        <v>0</v>
      </c>
      <c r="S15" s="46">
        <f>COUNTIF(Vertices[Clustering Coefficient], "&gt;= " &amp; R15) - COUNTIF(Vertices[Clustering Coefficient], "&gt;=" &amp; R16)</f>
        <v>0</v>
      </c>
      <c r="T15" s="41" t="e">
        <f t="shared" ca="1" si="9"/>
        <v>#REF!</v>
      </c>
      <c r="U15" s="42" t="e">
        <f t="shared" ca="1" si="0"/>
        <v>#REF!</v>
      </c>
    </row>
    <row r="16" spans="1:24">
      <c r="A16" s="36"/>
      <c r="B16" s="36"/>
      <c r="D16" s="34">
        <f t="shared" si="1"/>
        <v>0</v>
      </c>
      <c r="E16" s="3">
        <f>COUNTIF(Vertices[Degree], "&gt;= " &amp; D16) - COUNTIF(Vertices[Degree], "&gt;=" &amp; D17)</f>
        <v>0</v>
      </c>
      <c r="F16" s="39">
        <f t="shared" si="2"/>
        <v>0</v>
      </c>
      <c r="G16" s="40">
        <f>COUNTIF(Vertices[In-Degree], "&gt;= " &amp; F16) - COUNTIF(Vertices[In-Degree], "&gt;=" &amp; F17)</f>
        <v>0</v>
      </c>
      <c r="H16" s="39">
        <f t="shared" si="3"/>
        <v>0</v>
      </c>
      <c r="I16" s="40">
        <f>COUNTIF(Vertices[Out-Degree], "&gt;= " &amp; H16) - COUNTIF(Vertices[Out-Degree], "&gt;=" &amp; H17)</f>
        <v>0</v>
      </c>
      <c r="J16" s="39">
        <f t="shared" si="4"/>
        <v>0</v>
      </c>
      <c r="K16" s="40">
        <f>COUNTIF(Vertices[Betweenness Centrality], "&gt;= " &amp; J16) - COUNTIF(Vertices[Betweenness Centrality], "&gt;=" &amp; J17)</f>
        <v>0</v>
      </c>
      <c r="L16" s="39">
        <f t="shared" si="5"/>
        <v>0</v>
      </c>
      <c r="M16" s="40">
        <f>COUNTIF(Vertices[Closeness Centrality], "&gt;= " &amp; L16) - COUNTIF(Vertices[Closeness Centrality], "&gt;=" &amp; L17)</f>
        <v>0</v>
      </c>
      <c r="N16" s="39">
        <f t="shared" si="6"/>
        <v>0</v>
      </c>
      <c r="O16" s="40">
        <f>COUNTIF(Vertices[Eigenvector Centrality], "&gt;= " &amp; N16) - COUNTIF(Vertices[Eigenvector Centrality], "&gt;=" &amp; N17)</f>
        <v>0</v>
      </c>
      <c r="P16" s="39">
        <f t="shared" si="7"/>
        <v>0</v>
      </c>
      <c r="Q16" s="40">
        <f>COUNTIF(Vertices[PageRank], "&gt;= " &amp; P16) - COUNTIF(Vertices[PageRank], "&gt;=" &amp; P17)</f>
        <v>0</v>
      </c>
      <c r="R16" s="39">
        <f t="shared" si="8"/>
        <v>0</v>
      </c>
      <c r="S16" s="45">
        <f>COUNTIF(Vertices[Clustering Coefficient], "&gt;= " &amp; R16) - COUNTIF(Vertices[Clustering Coefficient], "&gt;=" &amp; R17)</f>
        <v>0</v>
      </c>
      <c r="T16" s="39" t="e">
        <f t="shared" ca="1" si="9"/>
        <v>#REF!</v>
      </c>
      <c r="U16" s="40" t="e">
        <f t="shared" ca="1" si="0"/>
        <v>#REF!</v>
      </c>
    </row>
    <row r="17" spans="1:21">
      <c r="A17" s="36"/>
      <c r="B17" s="36"/>
      <c r="D17" s="34">
        <f t="shared" si="1"/>
        <v>0</v>
      </c>
      <c r="E17" s="3">
        <f>COUNTIF(Vertices[Degree], "&gt;= " &amp; D17) - COUNTIF(Vertices[Degree], "&gt;=" &amp; D18)</f>
        <v>0</v>
      </c>
      <c r="F17" s="41">
        <f t="shared" si="2"/>
        <v>0</v>
      </c>
      <c r="G17" s="42">
        <f>COUNTIF(Vertices[In-Degree], "&gt;= " &amp; F17) - COUNTIF(Vertices[In-Degree], "&gt;=" &amp; F18)</f>
        <v>0</v>
      </c>
      <c r="H17" s="41">
        <f t="shared" si="3"/>
        <v>0</v>
      </c>
      <c r="I17" s="42">
        <f>COUNTIF(Vertices[Out-Degree], "&gt;= " &amp; H17) - COUNTIF(Vertices[Out-Degree], "&gt;=" &amp; H18)</f>
        <v>0</v>
      </c>
      <c r="J17" s="41">
        <f t="shared" si="4"/>
        <v>0</v>
      </c>
      <c r="K17" s="42">
        <f>COUNTIF(Vertices[Betweenness Centrality], "&gt;= " &amp; J17) - COUNTIF(Vertices[Betweenness Centrality], "&gt;=" &amp; J18)</f>
        <v>0</v>
      </c>
      <c r="L17" s="41">
        <f t="shared" si="5"/>
        <v>0</v>
      </c>
      <c r="M17" s="42">
        <f>COUNTIF(Vertices[Closeness Centrality], "&gt;= " &amp; L17) - COUNTIF(Vertices[Closeness Centrality], "&gt;=" &amp; L18)</f>
        <v>0</v>
      </c>
      <c r="N17" s="41">
        <f t="shared" si="6"/>
        <v>0</v>
      </c>
      <c r="O17" s="42">
        <f>COUNTIF(Vertices[Eigenvector Centrality], "&gt;= " &amp; N17) - COUNTIF(Vertices[Eigenvector Centrality], "&gt;=" &amp; N18)</f>
        <v>0</v>
      </c>
      <c r="P17" s="41">
        <f t="shared" si="7"/>
        <v>0</v>
      </c>
      <c r="Q17" s="42">
        <f>COUNTIF(Vertices[PageRank], "&gt;= " &amp; P17) - COUNTIF(Vertices[PageRank], "&gt;=" &amp; P18)</f>
        <v>0</v>
      </c>
      <c r="R17" s="41">
        <f t="shared" si="8"/>
        <v>0</v>
      </c>
      <c r="S17" s="46">
        <f>COUNTIF(Vertices[Clustering Coefficient], "&gt;= " &amp; R17) - COUNTIF(Vertices[Clustering Coefficient], "&gt;=" &amp; R18)</f>
        <v>0</v>
      </c>
      <c r="T17" s="41" t="e">
        <f t="shared" ca="1" si="9"/>
        <v>#REF!</v>
      </c>
      <c r="U17" s="42" t="e">
        <f t="shared" ca="1" si="0"/>
        <v>#REF!</v>
      </c>
    </row>
    <row r="18" spans="1:21">
      <c r="A18" s="36"/>
      <c r="B18" s="36"/>
      <c r="D18" s="34">
        <f t="shared" si="1"/>
        <v>0</v>
      </c>
      <c r="E18" s="3">
        <f>COUNTIF(Vertices[Degree], "&gt;= " &amp; D18) - COUNTIF(Vertices[Degree], "&gt;=" &amp; D19)</f>
        <v>0</v>
      </c>
      <c r="F18" s="39">
        <f t="shared" si="2"/>
        <v>0</v>
      </c>
      <c r="G18" s="40">
        <f>COUNTIF(Vertices[In-Degree], "&gt;= " &amp; F18) - COUNTIF(Vertices[In-Degree], "&gt;=" &amp; F19)</f>
        <v>0</v>
      </c>
      <c r="H18" s="39">
        <f t="shared" si="3"/>
        <v>0</v>
      </c>
      <c r="I18" s="40">
        <f>COUNTIF(Vertices[Out-Degree], "&gt;= " &amp; H18) - COUNTIF(Vertices[Out-Degree], "&gt;=" &amp; H19)</f>
        <v>0</v>
      </c>
      <c r="J18" s="39">
        <f t="shared" si="4"/>
        <v>0</v>
      </c>
      <c r="K18" s="40">
        <f>COUNTIF(Vertices[Betweenness Centrality], "&gt;= " &amp; J18) - COUNTIF(Vertices[Betweenness Centrality], "&gt;=" &amp; J19)</f>
        <v>0</v>
      </c>
      <c r="L18" s="39">
        <f t="shared" si="5"/>
        <v>0</v>
      </c>
      <c r="M18" s="40">
        <f>COUNTIF(Vertices[Closeness Centrality], "&gt;= " &amp; L18) - COUNTIF(Vertices[Closeness Centrality], "&gt;=" &amp; L19)</f>
        <v>0</v>
      </c>
      <c r="N18" s="39">
        <f t="shared" si="6"/>
        <v>0</v>
      </c>
      <c r="O18" s="40">
        <f>COUNTIF(Vertices[Eigenvector Centrality], "&gt;= " &amp; N18) - COUNTIF(Vertices[Eigenvector Centrality], "&gt;=" &amp; N19)</f>
        <v>0</v>
      </c>
      <c r="P18" s="39">
        <f t="shared" si="7"/>
        <v>0</v>
      </c>
      <c r="Q18" s="40">
        <f>COUNTIF(Vertices[PageRank], "&gt;= " &amp; P18) - COUNTIF(Vertices[PageRank], "&gt;=" &amp; P19)</f>
        <v>0</v>
      </c>
      <c r="R18" s="39">
        <f t="shared" si="8"/>
        <v>0</v>
      </c>
      <c r="S18" s="45">
        <f>COUNTIF(Vertices[Clustering Coefficient], "&gt;= " &amp; R18) - COUNTIF(Vertices[Clustering Coefficient], "&gt;=" &amp; R19)</f>
        <v>0</v>
      </c>
      <c r="T18" s="39" t="e">
        <f t="shared" ca="1" si="9"/>
        <v>#REF!</v>
      </c>
      <c r="U18" s="40" t="e">
        <f t="shared" ca="1" si="0"/>
        <v>#REF!</v>
      </c>
    </row>
    <row r="19" spans="1:21">
      <c r="A19" s="36"/>
      <c r="B19" s="36"/>
      <c r="D19" s="34">
        <f t="shared" si="1"/>
        <v>0</v>
      </c>
      <c r="E19" s="3">
        <f>COUNTIF(Vertices[Degree], "&gt;= " &amp; D19) - COUNTIF(Vertices[Degree], "&gt;=" &amp; D20)</f>
        <v>0</v>
      </c>
      <c r="F19" s="41">
        <f t="shared" si="2"/>
        <v>0</v>
      </c>
      <c r="G19" s="42">
        <f>COUNTIF(Vertices[In-Degree], "&gt;= " &amp; F19) - COUNTIF(Vertices[In-Degree], "&gt;=" &amp; F20)</f>
        <v>0</v>
      </c>
      <c r="H19" s="41">
        <f t="shared" si="3"/>
        <v>0</v>
      </c>
      <c r="I19" s="42">
        <f>COUNTIF(Vertices[Out-Degree], "&gt;= " &amp; H19) - COUNTIF(Vertices[Out-Degree], "&gt;=" &amp; H20)</f>
        <v>0</v>
      </c>
      <c r="J19" s="41">
        <f t="shared" si="4"/>
        <v>0</v>
      </c>
      <c r="K19" s="42">
        <f>COUNTIF(Vertices[Betweenness Centrality], "&gt;= " &amp; J19) - COUNTIF(Vertices[Betweenness Centrality], "&gt;=" &amp; J20)</f>
        <v>0</v>
      </c>
      <c r="L19" s="41">
        <f t="shared" si="5"/>
        <v>0</v>
      </c>
      <c r="M19" s="42">
        <f>COUNTIF(Vertices[Closeness Centrality], "&gt;= " &amp; L19) - COUNTIF(Vertices[Closeness Centrality], "&gt;=" &amp; L20)</f>
        <v>0</v>
      </c>
      <c r="N19" s="41">
        <f t="shared" si="6"/>
        <v>0</v>
      </c>
      <c r="O19" s="42">
        <f>COUNTIF(Vertices[Eigenvector Centrality], "&gt;= " &amp; N19) - COUNTIF(Vertices[Eigenvector Centrality], "&gt;=" &amp; N20)</f>
        <v>0</v>
      </c>
      <c r="P19" s="41">
        <f t="shared" si="7"/>
        <v>0</v>
      </c>
      <c r="Q19" s="42">
        <f>COUNTIF(Vertices[PageRank], "&gt;= " &amp; P19) - COUNTIF(Vertices[PageRank], "&gt;=" &amp; P20)</f>
        <v>0</v>
      </c>
      <c r="R19" s="41">
        <f t="shared" si="8"/>
        <v>0</v>
      </c>
      <c r="S19" s="46">
        <f>COUNTIF(Vertices[Clustering Coefficient], "&gt;= " &amp; R19) - COUNTIF(Vertices[Clustering Coefficient], "&gt;=" &amp; R20)</f>
        <v>0</v>
      </c>
      <c r="T19" s="41" t="e">
        <f t="shared" ca="1" si="9"/>
        <v>#REF!</v>
      </c>
      <c r="U19" s="42" t="e">
        <f t="shared" ca="1" si="0"/>
        <v>#REF!</v>
      </c>
    </row>
    <row r="20" spans="1:21">
      <c r="A20" s="36"/>
      <c r="B20" s="36"/>
      <c r="D20" s="34">
        <f t="shared" si="1"/>
        <v>0</v>
      </c>
      <c r="E20" s="3">
        <f>COUNTIF(Vertices[Degree], "&gt;= " &amp; D20) - COUNTIF(Vertices[Degree], "&gt;=" &amp; D21)</f>
        <v>0</v>
      </c>
      <c r="F20" s="39">
        <f t="shared" si="2"/>
        <v>0</v>
      </c>
      <c r="G20" s="40">
        <f>COUNTIF(Vertices[In-Degree], "&gt;= " &amp; F20) - COUNTIF(Vertices[In-Degree], "&gt;=" &amp; F21)</f>
        <v>0</v>
      </c>
      <c r="H20" s="39">
        <f t="shared" si="3"/>
        <v>0</v>
      </c>
      <c r="I20" s="40">
        <f>COUNTIF(Vertices[Out-Degree], "&gt;= " &amp; H20) - COUNTIF(Vertices[Out-Degree], "&gt;=" &amp; H21)</f>
        <v>0</v>
      </c>
      <c r="J20" s="39">
        <f t="shared" si="4"/>
        <v>0</v>
      </c>
      <c r="K20" s="40">
        <f>COUNTIF(Vertices[Betweenness Centrality], "&gt;= " &amp; J20) - COUNTIF(Vertices[Betweenness Centrality], "&gt;=" &amp; J21)</f>
        <v>0</v>
      </c>
      <c r="L20" s="39">
        <f t="shared" si="5"/>
        <v>0</v>
      </c>
      <c r="M20" s="40">
        <f>COUNTIF(Vertices[Closeness Centrality], "&gt;= " &amp; L20) - COUNTIF(Vertices[Closeness Centrality], "&gt;=" &amp; L21)</f>
        <v>0</v>
      </c>
      <c r="N20" s="39">
        <f t="shared" si="6"/>
        <v>0</v>
      </c>
      <c r="O20" s="40">
        <f>COUNTIF(Vertices[Eigenvector Centrality], "&gt;= " &amp; N20) - COUNTIF(Vertices[Eigenvector Centrality], "&gt;=" &amp; N21)</f>
        <v>0</v>
      </c>
      <c r="P20" s="39">
        <f t="shared" si="7"/>
        <v>0</v>
      </c>
      <c r="Q20" s="40">
        <f>COUNTIF(Vertices[PageRank], "&gt;= " &amp; P20) - COUNTIF(Vertices[PageRank], "&gt;=" &amp; P21)</f>
        <v>0</v>
      </c>
      <c r="R20" s="39">
        <f t="shared" si="8"/>
        <v>0</v>
      </c>
      <c r="S20" s="45">
        <f>COUNTIF(Vertices[Clustering Coefficient], "&gt;= " &amp; R20) - COUNTIF(Vertices[Clustering Coefficient], "&gt;=" &amp; R21)</f>
        <v>0</v>
      </c>
      <c r="T20" s="39" t="e">
        <f t="shared" ca="1" si="9"/>
        <v>#REF!</v>
      </c>
      <c r="U20" s="40" t="e">
        <f t="shared" ca="1" si="0"/>
        <v>#REF!</v>
      </c>
    </row>
    <row r="21" spans="1:21">
      <c r="A21" s="36"/>
      <c r="B21" s="36"/>
      <c r="D21" s="34">
        <f t="shared" si="1"/>
        <v>0</v>
      </c>
      <c r="E21" s="3">
        <f>COUNTIF(Vertices[Degree], "&gt;= " &amp; D21) - COUNTIF(Vertices[Degree], "&gt;=" &amp; D22)</f>
        <v>0</v>
      </c>
      <c r="F21" s="41">
        <f t="shared" si="2"/>
        <v>0</v>
      </c>
      <c r="G21" s="42">
        <f>COUNTIF(Vertices[In-Degree], "&gt;= " &amp; F21) - COUNTIF(Vertices[In-Degree], "&gt;=" &amp; F22)</f>
        <v>0</v>
      </c>
      <c r="H21" s="41">
        <f t="shared" si="3"/>
        <v>0</v>
      </c>
      <c r="I21" s="42">
        <f>COUNTIF(Vertices[Out-Degree], "&gt;= " &amp; H21) - COUNTIF(Vertices[Out-Degree], "&gt;=" &amp; H22)</f>
        <v>0</v>
      </c>
      <c r="J21" s="41">
        <f t="shared" si="4"/>
        <v>0</v>
      </c>
      <c r="K21" s="42">
        <f>COUNTIF(Vertices[Betweenness Centrality], "&gt;= " &amp; J21) - COUNTIF(Vertices[Betweenness Centrality], "&gt;=" &amp; J22)</f>
        <v>0</v>
      </c>
      <c r="L21" s="41">
        <f t="shared" si="5"/>
        <v>0</v>
      </c>
      <c r="M21" s="42">
        <f>COUNTIF(Vertices[Closeness Centrality], "&gt;= " &amp; L21) - COUNTIF(Vertices[Closeness Centrality], "&gt;=" &amp; L22)</f>
        <v>0</v>
      </c>
      <c r="N21" s="41">
        <f t="shared" si="6"/>
        <v>0</v>
      </c>
      <c r="O21" s="42">
        <f>COUNTIF(Vertices[Eigenvector Centrality], "&gt;= " &amp; N21) - COUNTIF(Vertices[Eigenvector Centrality], "&gt;=" &amp; N22)</f>
        <v>0</v>
      </c>
      <c r="P21" s="41">
        <f t="shared" si="7"/>
        <v>0</v>
      </c>
      <c r="Q21" s="42">
        <f>COUNTIF(Vertices[PageRank], "&gt;= " &amp; P21) - COUNTIF(Vertices[PageRank], "&gt;=" &amp; P22)</f>
        <v>0</v>
      </c>
      <c r="R21" s="41">
        <f t="shared" si="8"/>
        <v>0</v>
      </c>
      <c r="S21" s="46">
        <f>COUNTIF(Vertices[Clustering Coefficient], "&gt;= " &amp; R21) - COUNTIF(Vertices[Clustering Coefficient], "&gt;=" &amp; R22)</f>
        <v>0</v>
      </c>
      <c r="T21" s="41" t="e">
        <f t="shared" ca="1" si="9"/>
        <v>#REF!</v>
      </c>
      <c r="U21" s="42" t="e">
        <f t="shared" ca="1" si="0"/>
        <v>#REF!</v>
      </c>
    </row>
    <row r="22" spans="1:21">
      <c r="A22" s="36"/>
      <c r="B22" s="36"/>
      <c r="D22" s="34">
        <f t="shared" si="1"/>
        <v>0</v>
      </c>
      <c r="E22" s="3">
        <f>COUNTIF(Vertices[Degree], "&gt;= " &amp; D22) - COUNTIF(Vertices[Degree], "&gt;=" &amp; D23)</f>
        <v>0</v>
      </c>
      <c r="F22" s="39">
        <f t="shared" si="2"/>
        <v>0</v>
      </c>
      <c r="G22" s="40">
        <f>COUNTIF(Vertices[In-Degree], "&gt;= " &amp; F22) - COUNTIF(Vertices[In-Degree], "&gt;=" &amp; F23)</f>
        <v>0</v>
      </c>
      <c r="H22" s="39">
        <f t="shared" si="3"/>
        <v>0</v>
      </c>
      <c r="I22" s="40">
        <f>COUNTIF(Vertices[Out-Degree], "&gt;= " &amp; H22) - COUNTIF(Vertices[Out-Degree], "&gt;=" &amp; H23)</f>
        <v>0</v>
      </c>
      <c r="J22" s="39">
        <f t="shared" si="4"/>
        <v>0</v>
      </c>
      <c r="K22" s="40">
        <f>COUNTIF(Vertices[Betweenness Centrality], "&gt;= " &amp; J22) - COUNTIF(Vertices[Betweenness Centrality], "&gt;=" &amp; J23)</f>
        <v>0</v>
      </c>
      <c r="L22" s="39">
        <f t="shared" si="5"/>
        <v>0</v>
      </c>
      <c r="M22" s="40">
        <f>COUNTIF(Vertices[Closeness Centrality], "&gt;= " &amp; L22) - COUNTIF(Vertices[Closeness Centrality], "&gt;=" &amp; L23)</f>
        <v>0</v>
      </c>
      <c r="N22" s="39">
        <f t="shared" si="6"/>
        <v>0</v>
      </c>
      <c r="O22" s="40">
        <f>COUNTIF(Vertices[Eigenvector Centrality], "&gt;= " &amp; N22) - COUNTIF(Vertices[Eigenvector Centrality], "&gt;=" &amp; N23)</f>
        <v>0</v>
      </c>
      <c r="P22" s="39">
        <f t="shared" si="7"/>
        <v>0</v>
      </c>
      <c r="Q22" s="40">
        <f>COUNTIF(Vertices[PageRank], "&gt;= " &amp; P22) - COUNTIF(Vertices[PageRank], "&gt;=" &amp; P23)</f>
        <v>0</v>
      </c>
      <c r="R22" s="39">
        <f t="shared" si="8"/>
        <v>0</v>
      </c>
      <c r="S22" s="45">
        <f>COUNTIF(Vertices[Clustering Coefficient], "&gt;= " &amp; R22) - COUNTIF(Vertices[Clustering Coefficient], "&gt;=" &amp; R23)</f>
        <v>0</v>
      </c>
      <c r="T22" s="39" t="e">
        <f t="shared" ca="1" si="9"/>
        <v>#REF!</v>
      </c>
      <c r="U22" s="40" t="e">
        <f t="shared" ca="1" si="0"/>
        <v>#REF!</v>
      </c>
    </row>
    <row r="23" spans="1:21">
      <c r="A23" s="36"/>
      <c r="B23" s="36"/>
      <c r="D23" s="34">
        <f t="shared" si="1"/>
        <v>0</v>
      </c>
      <c r="E23" s="3">
        <f>COUNTIF(Vertices[Degree], "&gt;= " &amp; D23) - COUNTIF(Vertices[Degree], "&gt;=" &amp; D24)</f>
        <v>0</v>
      </c>
      <c r="F23" s="41">
        <f t="shared" si="2"/>
        <v>0</v>
      </c>
      <c r="G23" s="42">
        <f>COUNTIF(Vertices[In-Degree], "&gt;= " &amp; F23) - COUNTIF(Vertices[In-Degree], "&gt;=" &amp; F24)</f>
        <v>0</v>
      </c>
      <c r="H23" s="41">
        <f t="shared" si="3"/>
        <v>0</v>
      </c>
      <c r="I23" s="42">
        <f>COUNTIF(Vertices[Out-Degree], "&gt;= " &amp; H23) - COUNTIF(Vertices[Out-Degree], "&gt;=" &amp; H24)</f>
        <v>0</v>
      </c>
      <c r="J23" s="41">
        <f t="shared" si="4"/>
        <v>0</v>
      </c>
      <c r="K23" s="42">
        <f>COUNTIF(Vertices[Betweenness Centrality], "&gt;= " &amp; J23) - COUNTIF(Vertices[Betweenness Centrality], "&gt;=" &amp; J24)</f>
        <v>0</v>
      </c>
      <c r="L23" s="41">
        <f t="shared" si="5"/>
        <v>0</v>
      </c>
      <c r="M23" s="42">
        <f>COUNTIF(Vertices[Closeness Centrality], "&gt;= " &amp; L23) - COUNTIF(Vertices[Closeness Centrality], "&gt;=" &amp; L24)</f>
        <v>0</v>
      </c>
      <c r="N23" s="41">
        <f t="shared" si="6"/>
        <v>0</v>
      </c>
      <c r="O23" s="42">
        <f>COUNTIF(Vertices[Eigenvector Centrality], "&gt;= " &amp; N23) - COUNTIF(Vertices[Eigenvector Centrality], "&gt;=" &amp; N24)</f>
        <v>0</v>
      </c>
      <c r="P23" s="41">
        <f t="shared" si="7"/>
        <v>0</v>
      </c>
      <c r="Q23" s="42">
        <f>COUNTIF(Vertices[PageRank], "&gt;= " &amp; P23) - COUNTIF(Vertices[PageRank], "&gt;=" &amp; P24)</f>
        <v>0</v>
      </c>
      <c r="R23" s="41">
        <f t="shared" si="8"/>
        <v>0</v>
      </c>
      <c r="S23" s="46">
        <f>COUNTIF(Vertices[Clustering Coefficient], "&gt;= " &amp; R23) - COUNTIF(Vertices[Clustering Coefficient], "&gt;=" &amp; R24)</f>
        <v>0</v>
      </c>
      <c r="T23" s="41" t="e">
        <f t="shared" ca="1" si="9"/>
        <v>#REF!</v>
      </c>
      <c r="U23" s="42" t="e">
        <f t="shared" ca="1" si="0"/>
        <v>#REF!</v>
      </c>
    </row>
    <row r="24" spans="1:21">
      <c r="A24" s="36"/>
      <c r="B24" s="36"/>
      <c r="D24" s="34">
        <f t="shared" si="1"/>
        <v>0</v>
      </c>
      <c r="E24" s="3">
        <f>COUNTIF(Vertices[Degree], "&gt;= " &amp; D24) - COUNTIF(Vertices[Degree], "&gt;=" &amp; D25)</f>
        <v>0</v>
      </c>
      <c r="F24" s="39">
        <f t="shared" si="2"/>
        <v>0</v>
      </c>
      <c r="G24" s="40">
        <f>COUNTIF(Vertices[In-Degree], "&gt;= " &amp; F24) - COUNTIF(Vertices[In-Degree], "&gt;=" &amp; F25)</f>
        <v>0</v>
      </c>
      <c r="H24" s="39">
        <f t="shared" si="3"/>
        <v>0</v>
      </c>
      <c r="I24" s="40">
        <f>COUNTIF(Vertices[Out-Degree], "&gt;= " &amp; H24) - COUNTIF(Vertices[Out-Degree], "&gt;=" &amp; H25)</f>
        <v>0</v>
      </c>
      <c r="J24" s="39">
        <f t="shared" si="4"/>
        <v>0</v>
      </c>
      <c r="K24" s="40">
        <f>COUNTIF(Vertices[Betweenness Centrality], "&gt;= " &amp; J24) - COUNTIF(Vertices[Betweenness Centrality], "&gt;=" &amp; J25)</f>
        <v>0</v>
      </c>
      <c r="L24" s="39">
        <f t="shared" si="5"/>
        <v>0</v>
      </c>
      <c r="M24" s="40">
        <f>COUNTIF(Vertices[Closeness Centrality], "&gt;= " &amp; L24) - COUNTIF(Vertices[Closeness Centrality], "&gt;=" &amp; L25)</f>
        <v>0</v>
      </c>
      <c r="N24" s="39">
        <f t="shared" si="6"/>
        <v>0</v>
      </c>
      <c r="O24" s="40">
        <f>COUNTIF(Vertices[Eigenvector Centrality], "&gt;= " &amp; N24) - COUNTIF(Vertices[Eigenvector Centrality], "&gt;=" &amp; N25)</f>
        <v>0</v>
      </c>
      <c r="P24" s="39">
        <f t="shared" si="7"/>
        <v>0</v>
      </c>
      <c r="Q24" s="40">
        <f>COUNTIF(Vertices[PageRank], "&gt;= " &amp; P24) - COUNTIF(Vertices[PageRank], "&gt;=" &amp; P25)</f>
        <v>0</v>
      </c>
      <c r="R24" s="39">
        <f t="shared" si="8"/>
        <v>0</v>
      </c>
      <c r="S24" s="45">
        <f>COUNTIF(Vertices[Clustering Coefficient], "&gt;= " &amp; R24) - COUNTIF(Vertices[Clustering Coefficient], "&gt;=" &amp; R25)</f>
        <v>0</v>
      </c>
      <c r="T24" s="39" t="e">
        <f t="shared" ca="1" si="9"/>
        <v>#REF!</v>
      </c>
      <c r="U24" s="40" t="e">
        <f t="shared" ca="1" si="0"/>
        <v>#REF!</v>
      </c>
    </row>
    <row r="25" spans="1:21">
      <c r="A25" s="36"/>
      <c r="B25" s="36"/>
      <c r="D25" s="34">
        <f t="shared" si="1"/>
        <v>0</v>
      </c>
      <c r="E25" s="3">
        <f>COUNTIF(Vertices[Degree], "&gt;= " &amp; D25) - COUNTIF(Vertices[Degree], "&gt;=" &amp; D26)</f>
        <v>0</v>
      </c>
      <c r="F25" s="41">
        <f t="shared" si="2"/>
        <v>0</v>
      </c>
      <c r="G25" s="42">
        <f>COUNTIF(Vertices[In-Degree], "&gt;= " &amp; F25) - COUNTIF(Vertices[In-Degree], "&gt;=" &amp; F26)</f>
        <v>0</v>
      </c>
      <c r="H25" s="41">
        <f t="shared" si="3"/>
        <v>0</v>
      </c>
      <c r="I25" s="42">
        <f>COUNTIF(Vertices[Out-Degree], "&gt;= " &amp; H25) - COUNTIF(Vertices[Out-Degree], "&gt;=" &amp; H26)</f>
        <v>0</v>
      </c>
      <c r="J25" s="41">
        <f t="shared" si="4"/>
        <v>0</v>
      </c>
      <c r="K25" s="42">
        <f>COUNTIF(Vertices[Betweenness Centrality], "&gt;= " &amp; J25) - COUNTIF(Vertices[Betweenness Centrality], "&gt;=" &amp; J26)</f>
        <v>0</v>
      </c>
      <c r="L25" s="41">
        <f t="shared" si="5"/>
        <v>0</v>
      </c>
      <c r="M25" s="42">
        <f>COUNTIF(Vertices[Closeness Centrality], "&gt;= " &amp; L25) - COUNTIF(Vertices[Closeness Centrality], "&gt;=" &amp; L26)</f>
        <v>0</v>
      </c>
      <c r="N25" s="41">
        <f t="shared" si="6"/>
        <v>0</v>
      </c>
      <c r="O25" s="42">
        <f>COUNTIF(Vertices[Eigenvector Centrality], "&gt;= " &amp; N25) - COUNTIF(Vertices[Eigenvector Centrality], "&gt;=" &amp; N26)</f>
        <v>0</v>
      </c>
      <c r="P25" s="41">
        <f t="shared" si="7"/>
        <v>0</v>
      </c>
      <c r="Q25" s="42">
        <f>COUNTIF(Vertices[PageRank], "&gt;= " &amp; P25) - COUNTIF(Vertices[PageRank], "&gt;=" &amp; P26)</f>
        <v>0</v>
      </c>
      <c r="R25" s="41">
        <f t="shared" si="8"/>
        <v>0</v>
      </c>
      <c r="S25" s="46">
        <f>COUNTIF(Vertices[Clustering Coefficient], "&gt;= " &amp; R25) - COUNTIF(Vertices[Clustering Coefficient], "&gt;=" &amp; R26)</f>
        <v>0</v>
      </c>
      <c r="T25" s="41" t="e">
        <f t="shared" ca="1" si="9"/>
        <v>#REF!</v>
      </c>
      <c r="U25" s="42" t="e">
        <f t="shared" ca="1" si="0"/>
        <v>#REF!</v>
      </c>
    </row>
    <row r="26" spans="1:21">
      <c r="A26" s="36"/>
      <c r="B26" s="36"/>
      <c r="D26" s="34">
        <f t="shared" si="1"/>
        <v>0</v>
      </c>
      <c r="E26" s="3">
        <f>COUNTIF(Vertices[Degree], "&gt;= " &amp; D26) - COUNTIF(Vertices[Degree], "&gt;=" &amp; D27)</f>
        <v>0</v>
      </c>
      <c r="F26" s="39">
        <f t="shared" si="2"/>
        <v>0</v>
      </c>
      <c r="G26" s="40">
        <f>COUNTIF(Vertices[In-Degree], "&gt;= " &amp; F26) - COUNTIF(Vertices[In-Degree], "&gt;=" &amp; F27)</f>
        <v>0</v>
      </c>
      <c r="H26" s="39">
        <f t="shared" si="3"/>
        <v>0</v>
      </c>
      <c r="I26" s="40">
        <f>COUNTIF(Vertices[Out-Degree], "&gt;= " &amp; H26) - COUNTIF(Vertices[Out-Degree], "&gt;=" &amp; H27)</f>
        <v>0</v>
      </c>
      <c r="J26" s="39">
        <f t="shared" si="4"/>
        <v>0</v>
      </c>
      <c r="K26" s="40">
        <f>COUNTIF(Vertices[Betweenness Centrality], "&gt;= " &amp; J26) - COUNTIF(Vertices[Betweenness Centrality], "&gt;=" &amp; J27)</f>
        <v>0</v>
      </c>
      <c r="L26" s="39">
        <f t="shared" si="5"/>
        <v>0</v>
      </c>
      <c r="M26" s="40">
        <f>COUNTIF(Vertices[Closeness Centrality], "&gt;= " &amp; L26) - COUNTIF(Vertices[Closeness Centrality], "&gt;=" &amp; L27)</f>
        <v>0</v>
      </c>
      <c r="N26" s="39">
        <f t="shared" si="6"/>
        <v>0</v>
      </c>
      <c r="O26" s="40">
        <f>COUNTIF(Vertices[Eigenvector Centrality], "&gt;= " &amp; N26) - COUNTIF(Vertices[Eigenvector Centrality], "&gt;=" &amp; N27)</f>
        <v>0</v>
      </c>
      <c r="P26" s="39">
        <f t="shared" si="7"/>
        <v>0</v>
      </c>
      <c r="Q26" s="40">
        <f>COUNTIF(Vertices[PageRank], "&gt;= " &amp; P26) - COUNTIF(Vertices[PageRank], "&gt;=" &amp; P27)</f>
        <v>0</v>
      </c>
      <c r="R26" s="39">
        <f t="shared" si="8"/>
        <v>0</v>
      </c>
      <c r="S26" s="45">
        <f>COUNTIF(Vertices[Clustering Coefficient], "&gt;= " &amp; R26) - COUNTIF(Vertices[Clustering Coefficient], "&gt;=" &amp; R27)</f>
        <v>0</v>
      </c>
      <c r="T26" s="39" t="e">
        <f t="shared" ca="1" si="9"/>
        <v>#REF!</v>
      </c>
      <c r="U26" s="40" t="e">
        <f t="shared" ca="1" si="0"/>
        <v>#REF!</v>
      </c>
    </row>
    <row r="27" spans="1:21">
      <c r="D27" s="34">
        <f t="shared" si="1"/>
        <v>0</v>
      </c>
      <c r="E27" s="3">
        <f>COUNTIF(Vertices[Degree], "&gt;= " &amp; D27) - COUNTIF(Vertices[Degree], "&gt;=" &amp; D28)</f>
        <v>0</v>
      </c>
      <c r="F27" s="41">
        <f t="shared" si="2"/>
        <v>0</v>
      </c>
      <c r="G27" s="42">
        <f>COUNTIF(Vertices[In-Degree], "&gt;= " &amp; F27) - COUNTIF(Vertices[In-Degree], "&gt;=" &amp; F28)</f>
        <v>0</v>
      </c>
      <c r="H27" s="41">
        <f t="shared" si="3"/>
        <v>0</v>
      </c>
      <c r="I27" s="42">
        <f>COUNTIF(Vertices[Out-Degree], "&gt;= " &amp; H27) - COUNTIF(Vertices[Out-Degree], "&gt;=" &amp; H28)</f>
        <v>0</v>
      </c>
      <c r="J27" s="41">
        <f t="shared" si="4"/>
        <v>0</v>
      </c>
      <c r="K27" s="42">
        <f>COUNTIF(Vertices[Betweenness Centrality], "&gt;= " &amp; J27) - COUNTIF(Vertices[Betweenness Centrality], "&gt;=" &amp; J28)</f>
        <v>0</v>
      </c>
      <c r="L27" s="41">
        <f t="shared" si="5"/>
        <v>0</v>
      </c>
      <c r="M27" s="42">
        <f>COUNTIF(Vertices[Closeness Centrality], "&gt;= " &amp; L27) - COUNTIF(Vertices[Closeness Centrality], "&gt;=" &amp; L28)</f>
        <v>0</v>
      </c>
      <c r="N27" s="41">
        <f t="shared" si="6"/>
        <v>0</v>
      </c>
      <c r="O27" s="42">
        <f>COUNTIF(Vertices[Eigenvector Centrality], "&gt;= " &amp; N27) - COUNTIF(Vertices[Eigenvector Centrality], "&gt;=" &amp; N28)</f>
        <v>0</v>
      </c>
      <c r="P27" s="41">
        <f t="shared" si="7"/>
        <v>0</v>
      </c>
      <c r="Q27" s="42">
        <f>COUNTIF(Vertices[PageRank], "&gt;= " &amp; P27) - COUNTIF(Vertices[PageRank], "&gt;=" &amp; P28)</f>
        <v>0</v>
      </c>
      <c r="R27" s="41">
        <f t="shared" si="8"/>
        <v>0</v>
      </c>
      <c r="S27" s="46">
        <f>COUNTIF(Vertices[Clustering Coefficient], "&gt;= " &amp; R27) - COUNTIF(Vertices[Clustering Coefficient], "&gt;=" &amp; R28)</f>
        <v>0</v>
      </c>
      <c r="T27" s="41" t="e">
        <f t="shared" ca="1" si="9"/>
        <v>#REF!</v>
      </c>
      <c r="U27" s="42" t="e">
        <f t="shared" ca="1" si="0"/>
        <v>#REF!</v>
      </c>
    </row>
    <row r="28" spans="1:21">
      <c r="D28" s="34">
        <f t="shared" si="1"/>
        <v>0</v>
      </c>
      <c r="E28" s="3">
        <f>COUNTIF(Vertices[Degree], "&gt;= " &amp; D28) - COUNTIF(Vertices[Degree], "&gt;=" &amp; D29)</f>
        <v>0</v>
      </c>
      <c r="F28" s="39">
        <f t="shared" si="2"/>
        <v>0</v>
      </c>
      <c r="G28" s="40">
        <f>COUNTIF(Vertices[In-Degree], "&gt;= " &amp; F28) - COUNTIF(Vertices[In-Degree], "&gt;=" &amp; F29)</f>
        <v>0</v>
      </c>
      <c r="H28" s="39">
        <f t="shared" si="3"/>
        <v>0</v>
      </c>
      <c r="I28" s="40">
        <f>COUNTIF(Vertices[Out-Degree], "&gt;= " &amp; H28) - COUNTIF(Vertices[Out-Degree], "&gt;=" &amp; H29)</f>
        <v>0</v>
      </c>
      <c r="J28" s="39">
        <f t="shared" si="4"/>
        <v>0</v>
      </c>
      <c r="K28" s="40">
        <f>COUNTIF(Vertices[Betweenness Centrality], "&gt;= " &amp; J28) - COUNTIF(Vertices[Betweenness Centrality], "&gt;=" &amp; J29)</f>
        <v>0</v>
      </c>
      <c r="L28" s="39">
        <f t="shared" si="5"/>
        <v>0</v>
      </c>
      <c r="M28" s="40">
        <f>COUNTIF(Vertices[Closeness Centrality], "&gt;= " &amp; L28) - COUNTIF(Vertices[Closeness Centrality], "&gt;=" &amp; L29)</f>
        <v>0</v>
      </c>
      <c r="N28" s="39">
        <f t="shared" si="6"/>
        <v>0</v>
      </c>
      <c r="O28" s="40">
        <f>COUNTIF(Vertices[Eigenvector Centrality], "&gt;= " &amp; N28) - COUNTIF(Vertices[Eigenvector Centrality], "&gt;=" &amp; N29)</f>
        <v>0</v>
      </c>
      <c r="P28" s="39">
        <f t="shared" si="7"/>
        <v>0</v>
      </c>
      <c r="Q28" s="40">
        <f>COUNTIF(Vertices[PageRank], "&gt;= " &amp; P28) - COUNTIF(Vertices[PageRank], "&gt;=" &amp; P29)</f>
        <v>0</v>
      </c>
      <c r="R28" s="39">
        <f t="shared" si="8"/>
        <v>0</v>
      </c>
      <c r="S28" s="45">
        <f>COUNTIF(Vertices[Clustering Coefficient], "&gt;= " &amp; R28) - COUNTIF(Vertices[Clustering Coefficient], "&gt;=" &amp; R29)</f>
        <v>0</v>
      </c>
      <c r="T28" s="39" t="e">
        <f t="shared" ca="1" si="9"/>
        <v>#REF!</v>
      </c>
      <c r="U28" s="40" t="e">
        <f t="shared" ca="1" si="0"/>
        <v>#REF!</v>
      </c>
    </row>
    <row r="29" spans="1:21">
      <c r="A29" t="s">
        <v>164</v>
      </c>
      <c r="B29" t="s">
        <v>17</v>
      </c>
      <c r="D29" s="34">
        <f t="shared" si="1"/>
        <v>0</v>
      </c>
      <c r="E29" s="3">
        <f>COUNTIF(Vertices[Degree], "&gt;= " &amp; D29) - COUNTIF(Vertices[Degree], "&gt;=" &amp; D30)</f>
        <v>0</v>
      </c>
      <c r="F29" s="41">
        <f t="shared" si="2"/>
        <v>0</v>
      </c>
      <c r="G29" s="42">
        <f>COUNTIF(Vertices[In-Degree], "&gt;= " &amp; F29) - COUNTIF(Vertices[In-Degree], "&gt;=" &amp; F30)</f>
        <v>0</v>
      </c>
      <c r="H29" s="41">
        <f t="shared" si="3"/>
        <v>0</v>
      </c>
      <c r="I29" s="42">
        <f>COUNTIF(Vertices[Out-Degree], "&gt;= " &amp; H29) - COUNTIF(Vertices[Out-Degree], "&gt;=" &amp; H30)</f>
        <v>0</v>
      </c>
      <c r="J29" s="41">
        <f t="shared" si="4"/>
        <v>0</v>
      </c>
      <c r="K29" s="42">
        <f>COUNTIF(Vertices[Betweenness Centrality], "&gt;= " &amp; J29) - COUNTIF(Vertices[Betweenness Centrality], "&gt;=" &amp; J30)</f>
        <v>0</v>
      </c>
      <c r="L29" s="41">
        <f t="shared" si="5"/>
        <v>0</v>
      </c>
      <c r="M29" s="42">
        <f>COUNTIF(Vertices[Closeness Centrality], "&gt;= " &amp; L29) - COUNTIF(Vertices[Closeness Centrality], "&gt;=" &amp; L30)</f>
        <v>0</v>
      </c>
      <c r="N29" s="41">
        <f t="shared" si="6"/>
        <v>0</v>
      </c>
      <c r="O29" s="42">
        <f>COUNTIF(Vertices[Eigenvector Centrality], "&gt;= " &amp; N29) - COUNTIF(Vertices[Eigenvector Centrality], "&gt;=" &amp; N30)</f>
        <v>0</v>
      </c>
      <c r="P29" s="41">
        <f t="shared" si="7"/>
        <v>0</v>
      </c>
      <c r="Q29" s="42">
        <f>COUNTIF(Vertices[PageRank], "&gt;= " &amp; P29) - COUNTIF(Vertices[PageRank], "&gt;=" &amp; P30)</f>
        <v>0</v>
      </c>
      <c r="R29" s="41">
        <f t="shared" si="8"/>
        <v>0</v>
      </c>
      <c r="S29" s="46">
        <f>COUNTIF(Vertices[Clustering Coefficient], "&gt;= " &amp; R29) - COUNTIF(Vertices[Clustering Coefficient], "&gt;=" &amp; R30)</f>
        <v>0</v>
      </c>
      <c r="T29" s="41" t="e">
        <f t="shared" ca="1" si="9"/>
        <v>#REF!</v>
      </c>
      <c r="U29" s="42" t="e">
        <f t="shared" ca="1" si="0"/>
        <v>#REF!</v>
      </c>
    </row>
    <row r="30" spans="1:21">
      <c r="A30" s="35"/>
      <c r="B30" s="35"/>
      <c r="D30" s="34">
        <f t="shared" si="1"/>
        <v>0</v>
      </c>
      <c r="E30" s="3">
        <f>COUNTIF(Vertices[Degree], "&gt;= " &amp; D30) - COUNTIF(Vertices[Degree], "&gt;=" &amp; D31)</f>
        <v>0</v>
      </c>
      <c r="F30" s="39">
        <f t="shared" si="2"/>
        <v>0</v>
      </c>
      <c r="G30" s="40">
        <f>COUNTIF(Vertices[In-Degree], "&gt;= " &amp; F30) - COUNTIF(Vertices[In-Degree], "&gt;=" &amp; F31)</f>
        <v>0</v>
      </c>
      <c r="H30" s="39">
        <f t="shared" si="3"/>
        <v>0</v>
      </c>
      <c r="I30" s="40">
        <f>COUNTIF(Vertices[Out-Degree], "&gt;= " &amp; H30) - COUNTIF(Vertices[Out-Degree], "&gt;=" &amp; H31)</f>
        <v>0</v>
      </c>
      <c r="J30" s="39">
        <f t="shared" si="4"/>
        <v>0</v>
      </c>
      <c r="K30" s="40">
        <f>COUNTIF(Vertices[Betweenness Centrality], "&gt;= " &amp; J30) - COUNTIF(Vertices[Betweenness Centrality], "&gt;=" &amp; J31)</f>
        <v>0</v>
      </c>
      <c r="L30" s="39">
        <f t="shared" si="5"/>
        <v>0</v>
      </c>
      <c r="M30" s="40">
        <f>COUNTIF(Vertices[Closeness Centrality], "&gt;= " &amp; L30) - COUNTIF(Vertices[Closeness Centrality], "&gt;=" &amp; L31)</f>
        <v>0</v>
      </c>
      <c r="N30" s="39">
        <f t="shared" si="6"/>
        <v>0</v>
      </c>
      <c r="O30" s="40">
        <f>COUNTIF(Vertices[Eigenvector Centrality], "&gt;= " &amp; N30) - COUNTIF(Vertices[Eigenvector Centrality], "&gt;=" &amp; N31)</f>
        <v>0</v>
      </c>
      <c r="P30" s="39">
        <f t="shared" si="7"/>
        <v>0</v>
      </c>
      <c r="Q30" s="40">
        <f>COUNTIF(Vertices[PageRank], "&gt;= " &amp; P30) - COUNTIF(Vertices[PageRank], "&gt;=" &amp; P31)</f>
        <v>0</v>
      </c>
      <c r="R30" s="39">
        <f t="shared" si="8"/>
        <v>0</v>
      </c>
      <c r="S30" s="45">
        <f>COUNTIF(Vertices[Clustering Coefficient], "&gt;= " &amp; R30) - COUNTIF(Vertices[Clustering Coefficient], "&gt;=" &amp; R31)</f>
        <v>0</v>
      </c>
      <c r="T30" s="39" t="e">
        <f t="shared" ca="1" si="9"/>
        <v>#REF!</v>
      </c>
      <c r="U30" s="40" t="e">
        <f t="shared" ca="1" si="0"/>
        <v>#REF!</v>
      </c>
    </row>
    <row r="31" spans="1:21">
      <c r="A31" s="35"/>
      <c r="B31" s="35"/>
      <c r="D31" s="34">
        <f t="shared" si="1"/>
        <v>0</v>
      </c>
      <c r="E31" s="3">
        <f>COUNTIF(Vertices[Degree], "&gt;= " &amp; D31) - COUNTIF(Vertices[Degree], "&gt;=" &amp; D32)</f>
        <v>0</v>
      </c>
      <c r="F31" s="41">
        <f t="shared" si="2"/>
        <v>0</v>
      </c>
      <c r="G31" s="42">
        <f>COUNTIF(Vertices[In-Degree], "&gt;= " &amp; F31) - COUNTIF(Vertices[In-Degree], "&gt;=" &amp; F32)</f>
        <v>0</v>
      </c>
      <c r="H31" s="41">
        <f t="shared" si="3"/>
        <v>0</v>
      </c>
      <c r="I31" s="42">
        <f>COUNTIF(Vertices[Out-Degree], "&gt;= " &amp; H31) - COUNTIF(Vertices[Out-Degree], "&gt;=" &amp; H32)</f>
        <v>0</v>
      </c>
      <c r="J31" s="41">
        <f t="shared" si="4"/>
        <v>0</v>
      </c>
      <c r="K31" s="42">
        <f>COUNTIF(Vertices[Betweenness Centrality], "&gt;= " &amp; J31) - COUNTIF(Vertices[Betweenness Centrality], "&gt;=" &amp; J32)</f>
        <v>0</v>
      </c>
      <c r="L31" s="41">
        <f t="shared" si="5"/>
        <v>0</v>
      </c>
      <c r="M31" s="42">
        <f>COUNTIF(Vertices[Closeness Centrality], "&gt;= " &amp; L31) - COUNTIF(Vertices[Closeness Centrality], "&gt;=" &amp; L32)</f>
        <v>0</v>
      </c>
      <c r="N31" s="41">
        <f t="shared" si="6"/>
        <v>0</v>
      </c>
      <c r="O31" s="42">
        <f>COUNTIF(Vertices[Eigenvector Centrality], "&gt;= " &amp; N31) - COUNTIF(Vertices[Eigenvector Centrality], "&gt;=" &amp; N32)</f>
        <v>0</v>
      </c>
      <c r="P31" s="41">
        <f t="shared" si="7"/>
        <v>0</v>
      </c>
      <c r="Q31" s="42">
        <f>COUNTIF(Vertices[PageRank], "&gt;= " &amp; P31) - COUNTIF(Vertices[PageRank], "&gt;=" &amp; P32)</f>
        <v>0</v>
      </c>
      <c r="R31" s="41">
        <f t="shared" si="8"/>
        <v>0</v>
      </c>
      <c r="S31" s="46">
        <f>COUNTIF(Vertices[Clustering Coefficient], "&gt;= " &amp; R31) - COUNTIF(Vertices[Clustering Coefficient], "&gt;=" &amp; R32)</f>
        <v>0</v>
      </c>
      <c r="T31" s="41" t="e">
        <f t="shared" ca="1" si="9"/>
        <v>#REF!</v>
      </c>
      <c r="U31" s="42" t="e">
        <f t="shared" ca="1" si="0"/>
        <v>#REF!</v>
      </c>
    </row>
    <row r="32" spans="1:21">
      <c r="A32" s="35"/>
      <c r="B32" s="35"/>
      <c r="D32" s="34">
        <f t="shared" si="1"/>
        <v>0</v>
      </c>
      <c r="E32" s="3">
        <f>COUNTIF(Vertices[Degree], "&gt;= " &amp; D32) - COUNTIF(Vertices[Degree], "&gt;=" &amp; D33)</f>
        <v>0</v>
      </c>
      <c r="F32" s="39">
        <f t="shared" si="2"/>
        <v>0</v>
      </c>
      <c r="G32" s="40">
        <f>COUNTIF(Vertices[In-Degree], "&gt;= " &amp; F32) - COUNTIF(Vertices[In-Degree], "&gt;=" &amp; F33)</f>
        <v>0</v>
      </c>
      <c r="H32" s="39">
        <f t="shared" si="3"/>
        <v>0</v>
      </c>
      <c r="I32" s="40">
        <f>COUNTIF(Vertices[Out-Degree], "&gt;= " &amp; H32) - COUNTIF(Vertices[Out-Degree], "&gt;=" &amp; H33)</f>
        <v>0</v>
      </c>
      <c r="J32" s="39">
        <f t="shared" si="4"/>
        <v>0</v>
      </c>
      <c r="K32" s="40">
        <f>COUNTIF(Vertices[Betweenness Centrality], "&gt;= " &amp; J32) - COUNTIF(Vertices[Betweenness Centrality], "&gt;=" &amp; J33)</f>
        <v>0</v>
      </c>
      <c r="L32" s="39">
        <f t="shared" si="5"/>
        <v>0</v>
      </c>
      <c r="M32" s="40">
        <f>COUNTIF(Vertices[Closeness Centrality], "&gt;= " &amp; L32) - COUNTIF(Vertices[Closeness Centrality], "&gt;=" &amp; L33)</f>
        <v>0</v>
      </c>
      <c r="N32" s="39">
        <f t="shared" si="6"/>
        <v>0</v>
      </c>
      <c r="O32" s="40">
        <f>COUNTIF(Vertices[Eigenvector Centrality], "&gt;= " &amp; N32) - COUNTIF(Vertices[Eigenvector Centrality], "&gt;=" &amp; N33)</f>
        <v>0</v>
      </c>
      <c r="P32" s="39">
        <f t="shared" si="7"/>
        <v>0</v>
      </c>
      <c r="Q32" s="40">
        <f>COUNTIF(Vertices[PageRank], "&gt;= " &amp; P32) - COUNTIF(Vertices[PageRank], "&gt;=" &amp; P33)</f>
        <v>0</v>
      </c>
      <c r="R32" s="39">
        <f t="shared" si="8"/>
        <v>0</v>
      </c>
      <c r="S32" s="45">
        <f>COUNTIF(Vertices[Clustering Coefficient], "&gt;= " &amp; R32) - COUNTIF(Vertices[Clustering Coefficient], "&gt;=" &amp; R33)</f>
        <v>0</v>
      </c>
      <c r="T32" s="39" t="e">
        <f t="shared" ca="1" si="9"/>
        <v>#REF!</v>
      </c>
      <c r="U32" s="40" t="e">
        <f t="shared" ca="1" si="0"/>
        <v>#REF!</v>
      </c>
    </row>
    <row r="33" spans="1:21">
      <c r="D33" s="34">
        <f t="shared" si="1"/>
        <v>0</v>
      </c>
      <c r="E33" s="3">
        <f>COUNTIF(Vertices[Degree], "&gt;= " &amp; D33) - COUNTIF(Vertices[Degree], "&gt;=" &amp; D34)</f>
        <v>0</v>
      </c>
      <c r="F33" s="41">
        <f t="shared" si="2"/>
        <v>0</v>
      </c>
      <c r="G33" s="42">
        <f>COUNTIF(Vertices[In-Degree], "&gt;= " &amp; F33) - COUNTIF(Vertices[In-Degree], "&gt;=" &amp; F34)</f>
        <v>0</v>
      </c>
      <c r="H33" s="41">
        <f t="shared" si="3"/>
        <v>0</v>
      </c>
      <c r="I33" s="42">
        <f>COUNTIF(Vertices[Out-Degree], "&gt;= " &amp; H33) - COUNTIF(Vertices[Out-Degree], "&gt;=" &amp; H34)</f>
        <v>0</v>
      </c>
      <c r="J33" s="41">
        <f t="shared" si="4"/>
        <v>0</v>
      </c>
      <c r="K33" s="42">
        <f>COUNTIF(Vertices[Betweenness Centrality], "&gt;= " &amp; J33) - COUNTIF(Vertices[Betweenness Centrality], "&gt;=" &amp; J34)</f>
        <v>0</v>
      </c>
      <c r="L33" s="41">
        <f t="shared" si="5"/>
        <v>0</v>
      </c>
      <c r="M33" s="42">
        <f>COUNTIF(Vertices[Closeness Centrality], "&gt;= " &amp; L33) - COUNTIF(Vertices[Closeness Centrality], "&gt;=" &amp; L34)</f>
        <v>0</v>
      </c>
      <c r="N33" s="41">
        <f t="shared" si="6"/>
        <v>0</v>
      </c>
      <c r="O33" s="42">
        <f>COUNTIF(Vertices[Eigenvector Centrality], "&gt;= " &amp; N33) - COUNTIF(Vertices[Eigenvector Centrality], "&gt;=" &amp; N34)</f>
        <v>0</v>
      </c>
      <c r="P33" s="41">
        <f t="shared" si="7"/>
        <v>0</v>
      </c>
      <c r="Q33" s="42">
        <f>COUNTIF(Vertices[PageRank], "&gt;= " &amp; P33) - COUNTIF(Vertices[PageRank], "&gt;=" &amp; P34)</f>
        <v>0</v>
      </c>
      <c r="R33" s="41">
        <f t="shared" si="8"/>
        <v>0</v>
      </c>
      <c r="S33" s="46">
        <f>COUNTIF(Vertices[Clustering Coefficient], "&gt;= " &amp; R33) - COUNTIF(Vertices[Clustering Coefficient], "&gt;=" &amp; R34)</f>
        <v>0</v>
      </c>
      <c r="T33" s="41" t="e">
        <f t="shared" ca="1" si="9"/>
        <v>#REF!</v>
      </c>
      <c r="U33" s="42" t="e">
        <f t="shared" ca="1" si="0"/>
        <v>#REF!</v>
      </c>
    </row>
    <row r="34" spans="1:21">
      <c r="D34" s="34">
        <f t="shared" si="1"/>
        <v>0</v>
      </c>
      <c r="E34" s="3">
        <f>COUNTIF(Vertices[Degree], "&gt;= " &amp; D34) - COUNTIF(Vertices[Degree], "&gt;=" &amp; D35)</f>
        <v>0</v>
      </c>
      <c r="F34" s="39">
        <f t="shared" si="2"/>
        <v>0</v>
      </c>
      <c r="G34" s="40">
        <f>COUNTIF(Vertices[In-Degree], "&gt;= " &amp; F34) - COUNTIF(Vertices[In-Degree], "&gt;=" &amp; F35)</f>
        <v>0</v>
      </c>
      <c r="H34" s="39">
        <f t="shared" si="3"/>
        <v>0</v>
      </c>
      <c r="I34" s="40">
        <f>COUNTIF(Vertices[Out-Degree], "&gt;= " &amp; H34) - COUNTIF(Vertices[Out-Degree], "&gt;=" &amp; H35)</f>
        <v>0</v>
      </c>
      <c r="J34" s="39">
        <f t="shared" si="4"/>
        <v>0</v>
      </c>
      <c r="K34" s="40">
        <f>COUNTIF(Vertices[Betweenness Centrality], "&gt;= " &amp; J34) - COUNTIF(Vertices[Betweenness Centrality], "&gt;=" &amp; J35)</f>
        <v>0</v>
      </c>
      <c r="L34" s="39">
        <f t="shared" si="5"/>
        <v>0</v>
      </c>
      <c r="M34" s="40">
        <f>COUNTIF(Vertices[Closeness Centrality], "&gt;= " &amp; L34) - COUNTIF(Vertices[Closeness Centrality], "&gt;=" &amp; L35)</f>
        <v>0</v>
      </c>
      <c r="N34" s="39">
        <f t="shared" si="6"/>
        <v>0</v>
      </c>
      <c r="O34" s="40">
        <f>COUNTIF(Vertices[Eigenvector Centrality], "&gt;= " &amp; N34) - COUNTIF(Vertices[Eigenvector Centrality], "&gt;=" &amp; N35)</f>
        <v>0</v>
      </c>
      <c r="P34" s="39">
        <f t="shared" si="7"/>
        <v>0</v>
      </c>
      <c r="Q34" s="40">
        <f>COUNTIF(Vertices[PageRank], "&gt;= " &amp; P34) - COUNTIF(Vertices[PageRank], "&gt;=" &amp; P35)</f>
        <v>0</v>
      </c>
      <c r="R34" s="39">
        <f t="shared" si="8"/>
        <v>0</v>
      </c>
      <c r="S34" s="45">
        <f>COUNTIF(Vertices[Clustering Coefficient], "&gt;= " &amp; R34) - COUNTIF(Vertices[Clustering Coefficient], "&gt;=" &amp; R35)</f>
        <v>0</v>
      </c>
      <c r="T34" s="39" t="e">
        <f t="shared" ca="1" si="9"/>
        <v>#REF!</v>
      </c>
      <c r="U34" s="40" t="e">
        <f t="shared" ca="1" si="0"/>
        <v>#REF!</v>
      </c>
    </row>
    <row r="35" spans="1:21">
      <c r="D35" s="34">
        <f t="shared" si="1"/>
        <v>0</v>
      </c>
      <c r="E35" s="3">
        <f>COUNTIF(Vertices[Degree], "&gt;= " &amp; D35) - COUNTIF(Vertices[Degree], "&gt;=" &amp; D36)</f>
        <v>0</v>
      </c>
      <c r="F35" s="41">
        <f t="shared" si="2"/>
        <v>0</v>
      </c>
      <c r="G35" s="42">
        <f>COUNTIF(Vertices[In-Degree], "&gt;= " &amp; F35) - COUNTIF(Vertices[In-Degree], "&gt;=" &amp; F36)</f>
        <v>0</v>
      </c>
      <c r="H35" s="41">
        <f t="shared" si="3"/>
        <v>0</v>
      </c>
      <c r="I35" s="42">
        <f>COUNTIF(Vertices[Out-Degree], "&gt;= " &amp; H35) - COUNTIF(Vertices[Out-Degree], "&gt;=" &amp; H36)</f>
        <v>0</v>
      </c>
      <c r="J35" s="41">
        <f t="shared" si="4"/>
        <v>0</v>
      </c>
      <c r="K35" s="42">
        <f>COUNTIF(Vertices[Betweenness Centrality], "&gt;= " &amp; J35) - COUNTIF(Vertices[Betweenness Centrality], "&gt;=" &amp; J36)</f>
        <v>0</v>
      </c>
      <c r="L35" s="41">
        <f t="shared" si="5"/>
        <v>0</v>
      </c>
      <c r="M35" s="42">
        <f>COUNTIF(Vertices[Closeness Centrality], "&gt;= " &amp; L35) - COUNTIF(Vertices[Closeness Centrality], "&gt;=" &amp; L36)</f>
        <v>0</v>
      </c>
      <c r="N35" s="41">
        <f t="shared" si="6"/>
        <v>0</v>
      </c>
      <c r="O35" s="42">
        <f>COUNTIF(Vertices[Eigenvector Centrality], "&gt;= " &amp; N35) - COUNTIF(Vertices[Eigenvector Centrality], "&gt;=" &amp; N36)</f>
        <v>0</v>
      </c>
      <c r="P35" s="41">
        <f t="shared" si="7"/>
        <v>0</v>
      </c>
      <c r="Q35" s="42">
        <f>COUNTIF(Vertices[PageRank], "&gt;= " &amp; P35) - COUNTIF(Vertices[PageRank], "&gt;=" &amp; P36)</f>
        <v>0</v>
      </c>
      <c r="R35" s="41">
        <f t="shared" si="8"/>
        <v>0</v>
      </c>
      <c r="S35" s="46">
        <f>COUNTIF(Vertices[Clustering Coefficient], "&gt;= " &amp; R35) - COUNTIF(Vertices[Clustering Coefficient], "&gt;=" &amp; R36)</f>
        <v>0</v>
      </c>
      <c r="T35" s="41" t="e">
        <f t="shared" ca="1" si="9"/>
        <v>#REF!</v>
      </c>
      <c r="U35" s="42" t="e">
        <f t="shared" ca="1" si="0"/>
        <v>#REF!</v>
      </c>
    </row>
    <row r="36" spans="1:21">
      <c r="D36" s="34">
        <f t="shared" si="1"/>
        <v>0</v>
      </c>
      <c r="E36" s="3">
        <f>COUNTIF(Vertices[Degree], "&gt;= " &amp; D36) - COUNTIF(Vertices[Degree], "&gt;=" &amp; D37)</f>
        <v>0</v>
      </c>
      <c r="F36" s="39">
        <f t="shared" si="2"/>
        <v>0</v>
      </c>
      <c r="G36" s="40">
        <f>COUNTIF(Vertices[In-Degree], "&gt;= " &amp; F36) - COUNTIF(Vertices[In-Degree], "&gt;=" &amp; F37)</f>
        <v>0</v>
      </c>
      <c r="H36" s="39">
        <f t="shared" si="3"/>
        <v>0</v>
      </c>
      <c r="I36" s="40">
        <f>COUNTIF(Vertices[Out-Degree], "&gt;= " &amp; H36) - COUNTIF(Vertices[Out-Degree], "&gt;=" &amp; H37)</f>
        <v>0</v>
      </c>
      <c r="J36" s="39">
        <f t="shared" si="4"/>
        <v>0</v>
      </c>
      <c r="K36" s="40">
        <f>COUNTIF(Vertices[Betweenness Centrality], "&gt;= " &amp; J36) - COUNTIF(Vertices[Betweenness Centrality], "&gt;=" &amp; J37)</f>
        <v>0</v>
      </c>
      <c r="L36" s="39">
        <f t="shared" si="5"/>
        <v>0</v>
      </c>
      <c r="M36" s="40">
        <f>COUNTIF(Vertices[Closeness Centrality], "&gt;= " &amp; L36) - COUNTIF(Vertices[Closeness Centrality], "&gt;=" &amp; L37)</f>
        <v>0</v>
      </c>
      <c r="N36" s="39">
        <f t="shared" si="6"/>
        <v>0</v>
      </c>
      <c r="O36" s="40">
        <f>COUNTIF(Vertices[Eigenvector Centrality], "&gt;= " &amp; N36) - COUNTIF(Vertices[Eigenvector Centrality], "&gt;=" &amp; N37)</f>
        <v>0</v>
      </c>
      <c r="P36" s="39">
        <f t="shared" si="7"/>
        <v>0</v>
      </c>
      <c r="Q36" s="40">
        <f>COUNTIF(Vertices[PageRank], "&gt;= " &amp; P36) - COUNTIF(Vertices[PageRank], "&gt;=" &amp; P37)</f>
        <v>0</v>
      </c>
      <c r="R36" s="39">
        <f t="shared" si="8"/>
        <v>0</v>
      </c>
      <c r="S36" s="45">
        <f>COUNTIF(Vertices[Clustering Coefficient], "&gt;= " &amp; R36) - COUNTIF(Vertices[Clustering Coefficient], "&gt;=" &amp; R37)</f>
        <v>0</v>
      </c>
      <c r="T36" s="39" t="e">
        <f t="shared" ca="1" si="9"/>
        <v>#REF!</v>
      </c>
      <c r="U36" s="40" t="e">
        <f t="shared" ca="1" si="0"/>
        <v>#REF!</v>
      </c>
    </row>
    <row r="37" spans="1:21">
      <c r="D37" s="34">
        <f t="shared" si="1"/>
        <v>0</v>
      </c>
      <c r="E37" s="3">
        <f>COUNTIF(Vertices[Degree], "&gt;= " &amp; D37) - COUNTIF(Vertices[Degree], "&gt;=" &amp; D38)</f>
        <v>0</v>
      </c>
      <c r="F37" s="41">
        <f t="shared" si="2"/>
        <v>0</v>
      </c>
      <c r="G37" s="42">
        <f>COUNTIF(Vertices[In-Degree], "&gt;= " &amp; F37) - COUNTIF(Vertices[In-Degree], "&gt;=" &amp; F38)</f>
        <v>0</v>
      </c>
      <c r="H37" s="41">
        <f t="shared" si="3"/>
        <v>0</v>
      </c>
      <c r="I37" s="42">
        <f>COUNTIF(Vertices[Out-Degree], "&gt;= " &amp; H37) - COUNTIF(Vertices[Out-Degree], "&gt;=" &amp; H38)</f>
        <v>0</v>
      </c>
      <c r="J37" s="41">
        <f t="shared" si="4"/>
        <v>0</v>
      </c>
      <c r="K37" s="42">
        <f>COUNTIF(Vertices[Betweenness Centrality], "&gt;= " &amp; J37) - COUNTIF(Vertices[Betweenness Centrality], "&gt;=" &amp; J38)</f>
        <v>0</v>
      </c>
      <c r="L37" s="41">
        <f t="shared" si="5"/>
        <v>0</v>
      </c>
      <c r="M37" s="42">
        <f>COUNTIF(Vertices[Closeness Centrality], "&gt;= " &amp; L37) - COUNTIF(Vertices[Closeness Centrality], "&gt;=" &amp; L38)</f>
        <v>0</v>
      </c>
      <c r="N37" s="41">
        <f t="shared" si="6"/>
        <v>0</v>
      </c>
      <c r="O37" s="42">
        <f>COUNTIF(Vertices[Eigenvector Centrality], "&gt;= " &amp; N37) - COUNTIF(Vertices[Eigenvector Centrality], "&gt;=" &amp; N38)</f>
        <v>0</v>
      </c>
      <c r="P37" s="41">
        <f t="shared" si="7"/>
        <v>0</v>
      </c>
      <c r="Q37" s="42">
        <f>COUNTIF(Vertices[PageRank], "&gt;= " &amp; P37) - COUNTIF(Vertices[PageRank], "&gt;=" &amp; P38)</f>
        <v>0</v>
      </c>
      <c r="R37" s="41">
        <f t="shared" si="8"/>
        <v>0</v>
      </c>
      <c r="S37" s="46">
        <f>COUNTIF(Vertices[Clustering Coefficient], "&gt;= " &amp; R37) - COUNTIF(Vertices[Clustering Coefficient], "&gt;=" &amp; R38)</f>
        <v>0</v>
      </c>
      <c r="T37" s="41" t="e">
        <f t="shared" ca="1" si="9"/>
        <v>#REF!</v>
      </c>
      <c r="U37" s="42" t="e">
        <f t="shared" ca="1" si="0"/>
        <v>#REF!</v>
      </c>
    </row>
    <row r="38" spans="1:21">
      <c r="D38" s="34">
        <f t="shared" si="1"/>
        <v>0</v>
      </c>
      <c r="E38" s="3">
        <f>COUNTIF(Vertices[Degree], "&gt;= " &amp; D38) - COUNTIF(Vertices[Degree], "&gt;=" &amp; D39)</f>
        <v>0</v>
      </c>
      <c r="F38" s="39">
        <f t="shared" si="2"/>
        <v>0</v>
      </c>
      <c r="G38" s="40">
        <f>COUNTIF(Vertices[In-Degree], "&gt;= " &amp; F38) - COUNTIF(Vertices[In-Degree], "&gt;=" &amp; F39)</f>
        <v>0</v>
      </c>
      <c r="H38" s="39">
        <f t="shared" si="3"/>
        <v>0</v>
      </c>
      <c r="I38" s="40">
        <f>COUNTIF(Vertices[Out-Degree], "&gt;= " &amp; H38) - COUNTIF(Vertices[Out-Degree], "&gt;=" &amp; H39)</f>
        <v>0</v>
      </c>
      <c r="J38" s="39">
        <f t="shared" si="4"/>
        <v>0</v>
      </c>
      <c r="K38" s="40">
        <f>COUNTIF(Vertices[Betweenness Centrality], "&gt;= " &amp; J38) - COUNTIF(Vertices[Betweenness Centrality], "&gt;=" &amp; J39)</f>
        <v>0</v>
      </c>
      <c r="L38" s="39">
        <f t="shared" si="5"/>
        <v>0</v>
      </c>
      <c r="M38" s="40">
        <f>COUNTIF(Vertices[Closeness Centrality], "&gt;= " &amp; L38) - COUNTIF(Vertices[Closeness Centrality], "&gt;=" &amp; L39)</f>
        <v>0</v>
      </c>
      <c r="N38" s="39">
        <f t="shared" si="6"/>
        <v>0</v>
      </c>
      <c r="O38" s="40">
        <f>COUNTIF(Vertices[Eigenvector Centrality], "&gt;= " &amp; N38) - COUNTIF(Vertices[Eigenvector Centrality], "&gt;=" &amp; N39)</f>
        <v>0</v>
      </c>
      <c r="P38" s="39">
        <f t="shared" si="7"/>
        <v>0</v>
      </c>
      <c r="Q38" s="40">
        <f>COUNTIF(Vertices[PageRank], "&gt;= " &amp; P38) - COUNTIF(Vertices[PageRank], "&gt;=" &amp; P39)</f>
        <v>0</v>
      </c>
      <c r="R38" s="39">
        <f t="shared" si="8"/>
        <v>0</v>
      </c>
      <c r="S38" s="45">
        <f>COUNTIF(Vertices[Clustering Coefficient], "&gt;= " &amp; R38) - COUNTIF(Vertices[Clustering Coefficient], "&gt;=" &amp; R39)</f>
        <v>0</v>
      </c>
      <c r="T38" s="39" t="e">
        <f t="shared" ca="1" si="9"/>
        <v>#REF!</v>
      </c>
      <c r="U38" s="40" t="e">
        <f t="shared" ca="1" si="0"/>
        <v>#REF!</v>
      </c>
    </row>
    <row r="39" spans="1:21">
      <c r="D39" s="34">
        <f t="shared" si="1"/>
        <v>0</v>
      </c>
      <c r="E39" s="3">
        <f>COUNTIF(Vertices[Degree], "&gt;= " &amp; D39) - COUNTIF(Vertices[Degree], "&gt;=" &amp; D40)</f>
        <v>0</v>
      </c>
      <c r="F39" s="41">
        <f t="shared" si="2"/>
        <v>0</v>
      </c>
      <c r="G39" s="42">
        <f>COUNTIF(Vertices[In-Degree], "&gt;= " &amp; F39) - COUNTIF(Vertices[In-Degree], "&gt;=" &amp; F40)</f>
        <v>0</v>
      </c>
      <c r="H39" s="41">
        <f t="shared" si="3"/>
        <v>0</v>
      </c>
      <c r="I39" s="42">
        <f>COUNTIF(Vertices[Out-Degree], "&gt;= " &amp; H39) - COUNTIF(Vertices[Out-Degree], "&gt;=" &amp; H40)</f>
        <v>0</v>
      </c>
      <c r="J39" s="41">
        <f t="shared" si="4"/>
        <v>0</v>
      </c>
      <c r="K39" s="42">
        <f>COUNTIF(Vertices[Betweenness Centrality], "&gt;= " &amp; J39) - COUNTIF(Vertices[Betweenness Centrality], "&gt;=" &amp; J40)</f>
        <v>0</v>
      </c>
      <c r="L39" s="41">
        <f t="shared" si="5"/>
        <v>0</v>
      </c>
      <c r="M39" s="42">
        <f>COUNTIF(Vertices[Closeness Centrality], "&gt;= " &amp; L39) - COUNTIF(Vertices[Closeness Centrality], "&gt;=" &amp; L40)</f>
        <v>0</v>
      </c>
      <c r="N39" s="41">
        <f t="shared" si="6"/>
        <v>0</v>
      </c>
      <c r="O39" s="42">
        <f>COUNTIF(Vertices[Eigenvector Centrality], "&gt;= " &amp; N39) - COUNTIF(Vertices[Eigenvector Centrality], "&gt;=" &amp; N40)</f>
        <v>0</v>
      </c>
      <c r="P39" s="41">
        <f t="shared" si="7"/>
        <v>0</v>
      </c>
      <c r="Q39" s="42">
        <f>COUNTIF(Vertices[PageRank], "&gt;= " &amp; P39) - COUNTIF(Vertices[PageRank], "&gt;=" &amp; P40)</f>
        <v>0</v>
      </c>
      <c r="R39" s="41">
        <f t="shared" si="8"/>
        <v>0</v>
      </c>
      <c r="S39" s="46">
        <f>COUNTIF(Vertices[Clustering Coefficient], "&gt;= " &amp; R39) - COUNTIF(Vertices[Clustering Coefficient], "&gt;=" &amp; R40)</f>
        <v>0</v>
      </c>
      <c r="T39" s="41" t="e">
        <f t="shared" ca="1" si="9"/>
        <v>#REF!</v>
      </c>
      <c r="U39" s="42" t="e">
        <f t="shared" ca="1" si="0"/>
        <v>#REF!</v>
      </c>
    </row>
    <row r="40" spans="1:21">
      <c r="D40" s="34">
        <f t="shared" si="1"/>
        <v>0</v>
      </c>
      <c r="E40" s="3">
        <f>COUNTIF(Vertices[Degree], "&gt;= " &amp; D40) - COUNTIF(Vertices[Degree], "&gt;=" &amp; D41)</f>
        <v>0</v>
      </c>
      <c r="F40" s="39">
        <f t="shared" si="2"/>
        <v>0</v>
      </c>
      <c r="G40" s="40">
        <f>COUNTIF(Vertices[In-Degree], "&gt;= " &amp; F40) - COUNTIF(Vertices[In-Degree], "&gt;=" &amp; F41)</f>
        <v>0</v>
      </c>
      <c r="H40" s="39">
        <f t="shared" si="3"/>
        <v>0</v>
      </c>
      <c r="I40" s="40">
        <f>COUNTIF(Vertices[Out-Degree], "&gt;= " &amp; H40) - COUNTIF(Vertices[Out-Degree], "&gt;=" &amp; H41)</f>
        <v>0</v>
      </c>
      <c r="J40" s="39">
        <f t="shared" si="4"/>
        <v>0</v>
      </c>
      <c r="K40" s="40">
        <f>COUNTIF(Vertices[Betweenness Centrality], "&gt;= " &amp; J40) - COUNTIF(Vertices[Betweenness Centrality], "&gt;=" &amp; J41)</f>
        <v>0</v>
      </c>
      <c r="L40" s="39">
        <f t="shared" si="5"/>
        <v>0</v>
      </c>
      <c r="M40" s="40">
        <f>COUNTIF(Vertices[Closeness Centrality], "&gt;= " &amp; L40) - COUNTIF(Vertices[Closeness Centrality], "&gt;=" &amp; L41)</f>
        <v>0</v>
      </c>
      <c r="N40" s="39">
        <f t="shared" si="6"/>
        <v>0</v>
      </c>
      <c r="O40" s="40">
        <f>COUNTIF(Vertices[Eigenvector Centrality], "&gt;= " &amp; N40) - COUNTIF(Vertices[Eigenvector Centrality], "&gt;=" &amp; N41)</f>
        <v>0</v>
      </c>
      <c r="P40" s="39">
        <f t="shared" si="7"/>
        <v>0</v>
      </c>
      <c r="Q40" s="40">
        <f>COUNTIF(Vertices[PageRank], "&gt;= " &amp; P40) - COUNTIF(Vertices[PageRank], "&gt;=" &amp; P41)</f>
        <v>0</v>
      </c>
      <c r="R40" s="39">
        <f t="shared" si="8"/>
        <v>0</v>
      </c>
      <c r="S40" s="45">
        <f>COUNTIF(Vertices[Clustering Coefficient], "&gt;= " &amp; R40) - COUNTIF(Vertices[Clustering Coefficient], "&gt;=" &amp; R41)</f>
        <v>0</v>
      </c>
      <c r="T40" s="39" t="e">
        <f t="shared" ca="1" si="9"/>
        <v>#REF!</v>
      </c>
      <c r="U40" s="40" t="e">
        <f t="shared" ca="1" si="0"/>
        <v>#REF!</v>
      </c>
    </row>
    <row r="41" spans="1:21">
      <c r="D41" s="34">
        <f t="shared" si="1"/>
        <v>0</v>
      </c>
      <c r="E41" s="3">
        <f>COUNTIF(Vertices[Degree], "&gt;= " &amp; D41) - COUNTIF(Vertices[Degree], "&gt;=" &amp; D42)</f>
        <v>0</v>
      </c>
      <c r="F41" s="41">
        <f t="shared" si="2"/>
        <v>0</v>
      </c>
      <c r="G41" s="42">
        <f>COUNTIF(Vertices[In-Degree], "&gt;= " &amp; F41) - COUNTIF(Vertices[In-Degree], "&gt;=" &amp; F42)</f>
        <v>0</v>
      </c>
      <c r="H41" s="41">
        <f t="shared" si="3"/>
        <v>0</v>
      </c>
      <c r="I41" s="42">
        <f>COUNTIF(Vertices[Out-Degree], "&gt;= " &amp; H41) - COUNTIF(Vertices[Out-Degree], "&gt;=" &amp; H42)</f>
        <v>0</v>
      </c>
      <c r="J41" s="41">
        <f t="shared" si="4"/>
        <v>0</v>
      </c>
      <c r="K41" s="42">
        <f>COUNTIF(Vertices[Betweenness Centrality], "&gt;= " &amp; J41) - COUNTIF(Vertices[Betweenness Centrality], "&gt;=" &amp; J42)</f>
        <v>0</v>
      </c>
      <c r="L41" s="41">
        <f t="shared" si="5"/>
        <v>0</v>
      </c>
      <c r="M41" s="42">
        <f>COUNTIF(Vertices[Closeness Centrality], "&gt;= " &amp; L41) - COUNTIF(Vertices[Closeness Centrality], "&gt;=" &amp; L42)</f>
        <v>0</v>
      </c>
      <c r="N41" s="41">
        <f t="shared" si="6"/>
        <v>0</v>
      </c>
      <c r="O41" s="42">
        <f>COUNTIF(Vertices[Eigenvector Centrality], "&gt;= " &amp; N41) - COUNTIF(Vertices[Eigenvector Centrality], "&gt;=" &amp; N42)</f>
        <v>0</v>
      </c>
      <c r="P41" s="41">
        <f t="shared" si="7"/>
        <v>0</v>
      </c>
      <c r="Q41" s="42">
        <f>COUNTIF(Vertices[PageRank], "&gt;= " &amp; P41) - COUNTIF(Vertices[PageRank], "&gt;=" &amp; P42)</f>
        <v>0</v>
      </c>
      <c r="R41" s="41">
        <f t="shared" si="8"/>
        <v>0</v>
      </c>
      <c r="S41" s="46">
        <f>COUNTIF(Vertices[Clustering Coefficient], "&gt;= " &amp; R41) - COUNTIF(Vertices[Clustering Coefficient], "&gt;=" &amp; R42)</f>
        <v>0</v>
      </c>
      <c r="T41" s="41" t="e">
        <f t="shared" ca="1" si="9"/>
        <v>#REF!</v>
      </c>
      <c r="U41" s="42" t="e">
        <f t="shared" ca="1" si="0"/>
        <v>#REF!</v>
      </c>
    </row>
    <row r="42" spans="1:21">
      <c r="D42" s="34">
        <f t="shared" si="1"/>
        <v>0</v>
      </c>
      <c r="E42" s="3">
        <f>COUNTIF(Vertices[Degree], "&gt;= " &amp; D42) - COUNTIF(Vertices[Degree], "&gt;=" &amp; D43)</f>
        <v>0</v>
      </c>
      <c r="F42" s="39">
        <f t="shared" si="2"/>
        <v>0</v>
      </c>
      <c r="G42" s="40">
        <f>COUNTIF(Vertices[In-Degree], "&gt;= " &amp; F42) - COUNTIF(Vertices[In-Degree], "&gt;=" &amp; F43)</f>
        <v>0</v>
      </c>
      <c r="H42" s="39">
        <f t="shared" si="3"/>
        <v>0</v>
      </c>
      <c r="I42" s="40">
        <f>COUNTIF(Vertices[Out-Degree], "&gt;= " &amp; H42) - COUNTIF(Vertices[Out-Degree], "&gt;=" &amp; H43)</f>
        <v>0</v>
      </c>
      <c r="J42" s="39">
        <f t="shared" si="4"/>
        <v>0</v>
      </c>
      <c r="K42" s="40">
        <f>COUNTIF(Vertices[Betweenness Centrality], "&gt;= " &amp; J42) - COUNTIF(Vertices[Betweenness Centrality], "&gt;=" &amp; J43)</f>
        <v>0</v>
      </c>
      <c r="L42" s="39">
        <f t="shared" si="5"/>
        <v>0</v>
      </c>
      <c r="M42" s="40">
        <f>COUNTIF(Vertices[Closeness Centrality], "&gt;= " &amp; L42) - COUNTIF(Vertices[Closeness Centrality], "&gt;=" &amp; L43)</f>
        <v>0</v>
      </c>
      <c r="N42" s="39">
        <f t="shared" si="6"/>
        <v>0</v>
      </c>
      <c r="O42" s="40">
        <f>COUNTIF(Vertices[Eigenvector Centrality], "&gt;= " &amp; N42) - COUNTIF(Vertices[Eigenvector Centrality], "&gt;=" &amp; N43)</f>
        <v>0</v>
      </c>
      <c r="P42" s="39">
        <f t="shared" si="7"/>
        <v>0</v>
      </c>
      <c r="Q42" s="40">
        <f>COUNTIF(Vertices[PageRank], "&gt;= " &amp; P42) - COUNTIF(Vertices[PageRank], "&gt;=" &amp; P43)</f>
        <v>0</v>
      </c>
      <c r="R42" s="39">
        <f t="shared" si="8"/>
        <v>0</v>
      </c>
      <c r="S42" s="45">
        <f>COUNTIF(Vertices[Clustering Coefficient], "&gt;= " &amp; R42) - COUNTIF(Vertices[Clustering Coefficient], "&gt;=" &amp; R43)</f>
        <v>0</v>
      </c>
      <c r="T42" s="39" t="e">
        <f t="shared" ca="1" si="9"/>
        <v>#REF!</v>
      </c>
      <c r="U42" s="40" t="e">
        <f t="shared" ca="1" si="0"/>
        <v>#REF!</v>
      </c>
    </row>
    <row r="43" spans="1:21">
      <c r="A43" s="35" t="s">
        <v>82</v>
      </c>
      <c r="B43" s="48" t="str">
        <f>IF(COUNT(Vertices[Degree])&gt;0, D2, NoMetricMessage)</f>
        <v>Not Available</v>
      </c>
      <c r="D43" s="34">
        <f t="shared" si="1"/>
        <v>0</v>
      </c>
      <c r="E43" s="3">
        <f>COUNTIF(Vertices[Degree], "&gt;= " &amp; D43) - COUNTIF(Vertices[Degree], "&gt;=" &amp; D44)</f>
        <v>0</v>
      </c>
      <c r="F43" s="41">
        <f t="shared" si="2"/>
        <v>0</v>
      </c>
      <c r="G43" s="42">
        <f>COUNTIF(Vertices[In-Degree], "&gt;= " &amp; F43) - COUNTIF(Vertices[In-Degree], "&gt;=" &amp; F44)</f>
        <v>0</v>
      </c>
      <c r="H43" s="41">
        <f t="shared" si="3"/>
        <v>0</v>
      </c>
      <c r="I43" s="42">
        <f>COUNTIF(Vertices[Out-Degree], "&gt;= " &amp; H43) - COUNTIF(Vertices[Out-Degree], "&gt;=" &amp; H44)</f>
        <v>0</v>
      </c>
      <c r="J43" s="41">
        <f t="shared" si="4"/>
        <v>0</v>
      </c>
      <c r="K43" s="42">
        <f>COUNTIF(Vertices[Betweenness Centrality], "&gt;= " &amp; J43) - COUNTIF(Vertices[Betweenness Centrality], "&gt;=" &amp; J44)</f>
        <v>0</v>
      </c>
      <c r="L43" s="41">
        <f t="shared" si="5"/>
        <v>0</v>
      </c>
      <c r="M43" s="42">
        <f>COUNTIF(Vertices[Closeness Centrality], "&gt;= " &amp; L43) - COUNTIF(Vertices[Closeness Centrality], "&gt;=" &amp; L44)</f>
        <v>0</v>
      </c>
      <c r="N43" s="41">
        <f t="shared" si="6"/>
        <v>0</v>
      </c>
      <c r="O43" s="42">
        <f>COUNTIF(Vertices[Eigenvector Centrality], "&gt;= " &amp; N43) - COUNTIF(Vertices[Eigenvector Centrality], "&gt;=" &amp; N44)</f>
        <v>0</v>
      </c>
      <c r="P43" s="41">
        <f t="shared" si="7"/>
        <v>0</v>
      </c>
      <c r="Q43" s="42">
        <f>COUNTIF(Vertices[PageRank], "&gt;= " &amp; P43) - COUNTIF(Vertices[PageRank], "&gt;=" &amp; P44)</f>
        <v>0</v>
      </c>
      <c r="R43" s="41">
        <f t="shared" si="8"/>
        <v>0</v>
      </c>
      <c r="S43" s="46">
        <f>COUNTIF(Vertices[Clustering Coefficient], "&gt;= " &amp; R43) - COUNTIF(Vertices[Clustering Coefficient], "&gt;=" &amp; R44)</f>
        <v>0</v>
      </c>
      <c r="T43" s="41" t="e">
        <f t="shared" ca="1" si="9"/>
        <v>#REF!</v>
      </c>
      <c r="U43" s="42" t="e">
        <f t="shared" ca="1" si="0"/>
        <v>#REF!</v>
      </c>
    </row>
    <row r="44" spans="1:21">
      <c r="A44" s="35" t="s">
        <v>83</v>
      </c>
      <c r="B44" s="48" t="str">
        <f>IF(COUNT(Vertices[Degree])&gt;0, D45, NoMetricMessage)</f>
        <v>Not Available</v>
      </c>
      <c r="D44" s="34">
        <f t="shared" si="1"/>
        <v>0</v>
      </c>
      <c r="E44" s="3">
        <f>COUNTIF(Vertices[Degree], "&gt;= " &amp; D44) - COUNTIF(Vertices[Degree], "&gt;=" &amp; D45)</f>
        <v>0</v>
      </c>
      <c r="F44" s="39">
        <f t="shared" si="2"/>
        <v>0</v>
      </c>
      <c r="G44" s="40">
        <f>COUNTIF(Vertices[In-Degree], "&gt;= " &amp; F44) - COUNTIF(Vertices[In-Degree], "&gt;=" &amp; F45)</f>
        <v>0</v>
      </c>
      <c r="H44" s="39">
        <f t="shared" si="3"/>
        <v>0</v>
      </c>
      <c r="I44" s="40">
        <f>COUNTIF(Vertices[Out-Degree], "&gt;= " &amp; H44) - COUNTIF(Vertices[Out-Degree], "&gt;=" &amp; H45)</f>
        <v>0</v>
      </c>
      <c r="J44" s="39">
        <f t="shared" si="4"/>
        <v>0</v>
      </c>
      <c r="K44" s="40">
        <f>COUNTIF(Vertices[Betweenness Centrality], "&gt;= " &amp; J44) - COUNTIF(Vertices[Betweenness Centrality], "&gt;=" &amp; J45)</f>
        <v>0</v>
      </c>
      <c r="L44" s="39">
        <f t="shared" si="5"/>
        <v>0</v>
      </c>
      <c r="M44" s="40">
        <f>COUNTIF(Vertices[Closeness Centrality], "&gt;= " &amp; L44) - COUNTIF(Vertices[Closeness Centrality], "&gt;=" &amp; L45)</f>
        <v>0</v>
      </c>
      <c r="N44" s="39">
        <f t="shared" si="6"/>
        <v>0</v>
      </c>
      <c r="O44" s="40">
        <f>COUNTIF(Vertices[Eigenvector Centrality], "&gt;= " &amp; N44) - COUNTIF(Vertices[Eigenvector Centrality], "&gt;=" &amp; N45)</f>
        <v>0</v>
      </c>
      <c r="P44" s="39">
        <f t="shared" si="7"/>
        <v>0</v>
      </c>
      <c r="Q44" s="40">
        <f>COUNTIF(Vertices[PageRank], "&gt;= " &amp; P44) - COUNTIF(Vertices[PageRank], "&gt;=" &amp; P45)</f>
        <v>0</v>
      </c>
      <c r="R44" s="39">
        <f t="shared" si="8"/>
        <v>0</v>
      </c>
      <c r="S44" s="45">
        <f>COUNTIF(Vertices[Clustering Coefficient], "&gt;= " &amp; R44) - COUNTIF(Vertices[Clustering Coefficient], "&gt;=" &amp; R45)</f>
        <v>0</v>
      </c>
      <c r="T44" s="39" t="e">
        <f t="shared" ca="1" si="9"/>
        <v>#REF!</v>
      </c>
      <c r="U44" s="40" t="e">
        <f t="shared" ca="1" si="0"/>
        <v>#REF!</v>
      </c>
    </row>
    <row r="45" spans="1:21">
      <c r="A45" s="35" t="s">
        <v>84</v>
      </c>
      <c r="B45" s="49" t="str">
        <f>IFERROR(AVERAGE(Vertices[Degree]),NoMetricMessage)</f>
        <v>Not Available</v>
      </c>
      <c r="D45" s="34">
        <f>MAX(Vertices[Degree])</f>
        <v>0</v>
      </c>
      <c r="E45" s="3">
        <f>COUNTIF(Vertices[Degree], "&gt;= " &amp; D45) - COUNTIF(Vertices[Degree], "&gt;=" &amp; D46)</f>
        <v>0</v>
      </c>
      <c r="F45" s="43">
        <f>MAX(Vertices[In-Degree])</f>
        <v>0</v>
      </c>
      <c r="G45" s="44">
        <f>COUNTIF(Vertices[In-Degree], "&gt;= " &amp; F45) - COUNTIF(Vertices[In-Degree], "&gt;=" &amp; F46)</f>
        <v>0</v>
      </c>
      <c r="H45" s="43">
        <f>MAX(Vertices[Out-Degree])</f>
        <v>0</v>
      </c>
      <c r="I45" s="44">
        <f>COUNTIF(Vertices[Out-Degree], "&gt;= " &amp; H45) - COUNTIF(Vertices[Out-Degree], "&gt;=" &amp; H46)</f>
        <v>0</v>
      </c>
      <c r="J45" s="43">
        <f>MAX(Vertices[Betweenness Centrality])</f>
        <v>0</v>
      </c>
      <c r="K45" s="44">
        <f>COUNTIF(Vertices[Betweenness Centrality], "&gt;= " &amp; J45) - COUNTIF(Vertices[Betweenness Centrality], "&gt;=" &amp; J46)</f>
        <v>0</v>
      </c>
      <c r="L45" s="43">
        <f>MAX(Vertices[Closeness Centrality])</f>
        <v>0</v>
      </c>
      <c r="M45" s="44">
        <f>COUNTIF(Vertices[Closeness Centrality], "&gt;= " &amp; L45) - COUNTIF(Vertices[Closeness Centrality], "&gt;=" &amp; L46)</f>
        <v>0</v>
      </c>
      <c r="N45" s="43">
        <f>MAX(Vertices[Eigenvector Centrality])</f>
        <v>0</v>
      </c>
      <c r="O45" s="44">
        <f>COUNTIF(Vertices[Eigenvector Centrality], "&gt;= " &amp; N45) - COUNTIF(Vertices[Eigenvector Centrality], "&gt;=" &amp; N46)</f>
        <v>0</v>
      </c>
      <c r="P45" s="43">
        <f>MAX(Vertices[PageRank])</f>
        <v>0</v>
      </c>
      <c r="Q45" s="44">
        <f>COUNTIF(Vertices[PageRank], "&gt;= " &amp; P45) - COUNTIF(Vertices[PageRank], "&gt;=" &amp; P46)</f>
        <v>0</v>
      </c>
      <c r="R45" s="43">
        <f>MAX(Vertices[Clustering Coefficient])</f>
        <v>0</v>
      </c>
      <c r="S45" s="47">
        <f>COUNTIF(Vertices[Clustering Coefficient], "&gt;= " &amp; R45) - COUNTIF(Vertices[Clustering Coefficient], "&gt;=" &amp; R46)</f>
        <v>0</v>
      </c>
      <c r="T45" s="43" t="e">
        <f ca="1">MAX(INDIRECT(DynamicFilterSourceColumnRange))</f>
        <v>#REF!</v>
      </c>
      <c r="U45" s="44" t="e">
        <f t="shared" ca="1" si="0"/>
        <v>#REF!</v>
      </c>
    </row>
    <row r="46" spans="1:21">
      <c r="A46" s="35" t="s">
        <v>85</v>
      </c>
      <c r="B46" s="49" t="str">
        <f>IFERROR(MEDIAN(Vertices[Degree]),NoMetricMessage)</f>
        <v>Not Available</v>
      </c>
    </row>
    <row r="57" spans="1:2">
      <c r="A57" s="35" t="s">
        <v>89</v>
      </c>
      <c r="B57" s="48" t="str">
        <f>IF(COUNT(Vertices[In-Degree])&gt;0, F2, NoMetricMessage)</f>
        <v>Not Available</v>
      </c>
    </row>
    <row r="58" spans="1:2">
      <c r="A58" s="35" t="s">
        <v>90</v>
      </c>
      <c r="B58" s="48" t="str">
        <f>IF(COUNT(Vertices[In-Degree])&gt;0, F45, NoMetricMessage)</f>
        <v>Not Available</v>
      </c>
    </row>
    <row r="59" spans="1:2">
      <c r="A59" s="35" t="s">
        <v>91</v>
      </c>
      <c r="B59" s="49" t="str">
        <f>IFERROR(AVERAGE(Vertices[In-Degree]),NoMetricMessage)</f>
        <v>Not Available</v>
      </c>
    </row>
    <row r="60" spans="1:2">
      <c r="A60" s="35" t="s">
        <v>92</v>
      </c>
      <c r="B60" s="49" t="str">
        <f>IFERROR(MEDIAN(Vertices[In-Degree]),NoMetricMessage)</f>
        <v>Not Available</v>
      </c>
    </row>
    <row r="71" spans="1:2">
      <c r="A71" s="35" t="s">
        <v>95</v>
      </c>
      <c r="B71" s="48" t="str">
        <f>IF(COUNT(Vertices[Out-Degree])&gt;0, H2, NoMetricMessage)</f>
        <v>Not Available</v>
      </c>
    </row>
    <row r="72" spans="1:2">
      <c r="A72" s="35" t="s">
        <v>96</v>
      </c>
      <c r="B72" s="48" t="str">
        <f>IF(COUNT(Vertices[Out-Degree])&gt;0, H45, NoMetricMessage)</f>
        <v>Not Available</v>
      </c>
    </row>
    <row r="73" spans="1:2">
      <c r="A73" s="35" t="s">
        <v>97</v>
      </c>
      <c r="B73" s="49" t="str">
        <f>IFERROR(AVERAGE(Vertices[Out-Degree]),NoMetricMessage)</f>
        <v>Not Available</v>
      </c>
    </row>
    <row r="74" spans="1:2">
      <c r="A74" s="35" t="s">
        <v>98</v>
      </c>
      <c r="B74" s="49" t="str">
        <f>IFERROR(MEDIAN(Vertices[Out-Degree]),NoMetricMessage)</f>
        <v>Not Available</v>
      </c>
    </row>
    <row r="85" spans="1:2">
      <c r="A85" s="35" t="s">
        <v>101</v>
      </c>
      <c r="B85" s="49" t="str">
        <f>IF(COUNT(Vertices[Betweenness Centrality])&gt;0, J2, NoMetricMessage)</f>
        <v>Not Available</v>
      </c>
    </row>
    <row r="86" spans="1:2">
      <c r="A86" s="35" t="s">
        <v>102</v>
      </c>
      <c r="B86" s="49" t="str">
        <f>IF(COUNT(Vertices[Betweenness Centrality])&gt;0, J45, NoMetricMessage)</f>
        <v>Not Available</v>
      </c>
    </row>
    <row r="87" spans="1:2">
      <c r="A87" s="35" t="s">
        <v>103</v>
      </c>
      <c r="B87" s="49" t="str">
        <f>IFERROR(AVERAGE(Vertices[Betweenness Centrality]),NoMetricMessage)</f>
        <v>Not Available</v>
      </c>
    </row>
    <row r="88" spans="1:2">
      <c r="A88" s="35" t="s">
        <v>104</v>
      </c>
      <c r="B88" s="49" t="str">
        <f>IFERROR(MEDIAN(Vertices[Betweenness Centrality]),NoMetricMessage)</f>
        <v>Not Available</v>
      </c>
    </row>
    <row r="99" spans="1:2">
      <c r="A99" s="35" t="s">
        <v>107</v>
      </c>
      <c r="B99" s="49" t="str">
        <f>IF(COUNT(Vertices[Closeness Centrality])&gt;0, L2, NoMetricMessage)</f>
        <v>Not Available</v>
      </c>
    </row>
    <row r="100" spans="1:2">
      <c r="A100" s="35" t="s">
        <v>108</v>
      </c>
      <c r="B100" s="49" t="str">
        <f>IF(COUNT(Vertices[Closeness Centrality])&gt;0, L45, NoMetricMessage)</f>
        <v>Not Available</v>
      </c>
    </row>
    <row r="101" spans="1:2">
      <c r="A101" s="35" t="s">
        <v>109</v>
      </c>
      <c r="B101" s="49" t="str">
        <f>IFERROR(AVERAGE(Vertices[Closeness Centrality]),NoMetricMessage)</f>
        <v>Not Available</v>
      </c>
    </row>
    <row r="102" spans="1:2">
      <c r="A102" s="35" t="s">
        <v>110</v>
      </c>
      <c r="B102" s="49" t="str">
        <f>IFERROR(MEDIAN(Vertices[Closeness Centrality]),NoMetricMessage)</f>
        <v>Not Available</v>
      </c>
    </row>
    <row r="113" spans="1:2">
      <c r="A113" s="35" t="s">
        <v>113</v>
      </c>
      <c r="B113" s="49" t="str">
        <f>IF(COUNT(Vertices[Eigenvector Centrality])&gt;0, N2, NoMetricMessage)</f>
        <v>Not Available</v>
      </c>
    </row>
    <row r="114" spans="1:2">
      <c r="A114" s="35" t="s">
        <v>114</v>
      </c>
      <c r="B114" s="49" t="str">
        <f>IF(COUNT(Vertices[Eigenvector Centrality])&gt;0, N45, NoMetricMessage)</f>
        <v>Not Available</v>
      </c>
    </row>
    <row r="115" spans="1:2">
      <c r="A115" s="35" t="s">
        <v>115</v>
      </c>
      <c r="B115" s="49" t="str">
        <f>IFERROR(AVERAGE(Vertices[Eigenvector Centrality]),NoMetricMessage)</f>
        <v>Not Available</v>
      </c>
    </row>
    <row r="116" spans="1:2">
      <c r="A116" s="35" t="s">
        <v>116</v>
      </c>
      <c r="B116" s="49" t="str">
        <f>IFERROR(MEDIAN(Vertices[Eigenvector Centrality]),NoMetricMessage)</f>
        <v>Not Available</v>
      </c>
    </row>
    <row r="127" spans="1:2">
      <c r="A127" s="35" t="s">
        <v>141</v>
      </c>
      <c r="B127" s="49" t="str">
        <f>IF(COUNT(Vertices[PageRank])&gt;0, P2, NoMetricMessage)</f>
        <v>Not Available</v>
      </c>
    </row>
    <row r="128" spans="1:2">
      <c r="A128" s="35" t="s">
        <v>142</v>
      </c>
      <c r="B128" s="49" t="str">
        <f>IF(COUNT(Vertices[PageRank])&gt;0, P45, NoMetricMessage)</f>
        <v>Not Available</v>
      </c>
    </row>
    <row r="129" spans="1:2">
      <c r="A129" s="35" t="s">
        <v>143</v>
      </c>
      <c r="B129" s="49" t="str">
        <f>IFERROR(AVERAGE(Vertices[PageRank]),NoMetricMessage)</f>
        <v>Not Available</v>
      </c>
    </row>
    <row r="130" spans="1:2">
      <c r="A130" s="35" t="s">
        <v>144</v>
      </c>
      <c r="B130" s="49" t="str">
        <f>IFERROR(MEDIAN(Vertices[PageRank]),NoMetricMessage)</f>
        <v>Not Available</v>
      </c>
    </row>
    <row r="141" spans="1:2">
      <c r="A141" s="35" t="s">
        <v>119</v>
      </c>
      <c r="B141" s="49" t="str">
        <f>IF(COUNT(Vertices[Clustering Coefficient])&gt;0, R2, NoMetricMessage)</f>
        <v>Not Available</v>
      </c>
    </row>
    <row r="142" spans="1:2">
      <c r="A142" s="35" t="s">
        <v>120</v>
      </c>
      <c r="B142" s="49" t="str">
        <f>IF(COUNT(Vertices[Clustering Coefficient])&gt;0, R45, NoMetricMessage)</f>
        <v>Not Available</v>
      </c>
    </row>
    <row r="143" spans="1:2">
      <c r="A143" s="35" t="s">
        <v>121</v>
      </c>
      <c r="B143" s="49" t="str">
        <f>IFERROR(AVERAGE(Vertices[Clustering Coefficient]),NoMetricMessage)</f>
        <v>Not Available</v>
      </c>
    </row>
    <row r="144" spans="1:2">
      <c r="A144" s="35" t="s">
        <v>122</v>
      </c>
      <c r="B144" s="49"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sheetPr codeName="Sheet4"/>
  <dimension ref="A1:R23"/>
  <sheetViews>
    <sheetView workbookViewId="0">
      <selection activeCell="A2" sqref="A2"/>
    </sheetView>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6" width="16.85546875" customWidth="1"/>
    <col min="7" max="7" width="14.28515625" bestFit="1" customWidth="1"/>
    <col min="8" max="8" width="14.28515625" customWidth="1"/>
    <col min="10" max="10" width="39.140625" bestFit="1" customWidth="1"/>
    <col min="11" max="11" width="10.85546875" bestFit="1" customWidth="1"/>
    <col min="13" max="13" width="8.42578125" bestFit="1" customWidth="1"/>
    <col min="14" max="14" width="10" bestFit="1" customWidth="1"/>
    <col min="15" max="15" width="11.85546875" bestFit="1" customWidth="1"/>
    <col min="16" max="16" width="12.140625" bestFit="1" customWidth="1"/>
  </cols>
  <sheetData>
    <row r="1" spans="1:18" s="4" customFormat="1" ht="36" customHeight="1">
      <c r="A1" s="5" t="s">
        <v>6</v>
      </c>
      <c r="B1" s="5" t="s">
        <v>132</v>
      </c>
      <c r="C1" s="4" t="s">
        <v>7</v>
      </c>
      <c r="D1" s="4" t="s">
        <v>9</v>
      </c>
      <c r="E1" s="4" t="s">
        <v>165</v>
      </c>
      <c r="F1" s="5" t="s">
        <v>170</v>
      </c>
      <c r="G1" s="4" t="s">
        <v>14</v>
      </c>
      <c r="H1" s="4" t="s">
        <v>68</v>
      </c>
      <c r="J1" s="4" t="s">
        <v>18</v>
      </c>
      <c r="K1" s="4" t="s">
        <v>17</v>
      </c>
      <c r="M1" s="4" t="s">
        <v>22</v>
      </c>
      <c r="N1" s="4" t="s">
        <v>23</v>
      </c>
      <c r="O1" s="4" t="s">
        <v>24</v>
      </c>
      <c r="P1" s="4" t="s">
        <v>25</v>
      </c>
    </row>
    <row r="2" spans="1:18">
      <c r="A2" s="1" t="s">
        <v>52</v>
      </c>
      <c r="B2" s="1" t="s">
        <v>133</v>
      </c>
      <c r="C2" t="s">
        <v>55</v>
      </c>
      <c r="D2" t="s">
        <v>56</v>
      </c>
      <c r="E2" t="s">
        <v>56</v>
      </c>
      <c r="F2" s="1" t="s">
        <v>52</v>
      </c>
      <c r="G2" t="s">
        <v>66</v>
      </c>
      <c r="H2" t="s">
        <v>160</v>
      </c>
      <c r="J2" t="s">
        <v>19</v>
      </c>
      <c r="K2">
        <v>104</v>
      </c>
    </row>
    <row r="3" spans="1:18">
      <c r="A3" s="1" t="s">
        <v>53</v>
      </c>
      <c r="B3" s="1" t="s">
        <v>134</v>
      </c>
      <c r="C3" t="s">
        <v>53</v>
      </c>
      <c r="D3" t="s">
        <v>57</v>
      </c>
      <c r="E3" t="s">
        <v>57</v>
      </c>
      <c r="F3" s="1" t="s">
        <v>53</v>
      </c>
      <c r="G3" t="s">
        <v>67</v>
      </c>
      <c r="H3" t="s">
        <v>69</v>
      </c>
      <c r="J3" t="s">
        <v>30</v>
      </c>
      <c r="K3" t="s">
        <v>31</v>
      </c>
    </row>
    <row r="4" spans="1:18">
      <c r="A4" s="1" t="s">
        <v>54</v>
      </c>
      <c r="B4" s="1" t="s">
        <v>135</v>
      </c>
      <c r="C4" t="s">
        <v>54</v>
      </c>
      <c r="D4" t="s">
        <v>58</v>
      </c>
      <c r="E4" t="s">
        <v>58</v>
      </c>
      <c r="F4" s="1" t="s">
        <v>54</v>
      </c>
      <c r="G4">
        <v>0</v>
      </c>
      <c r="H4" t="s">
        <v>70</v>
      </c>
      <c r="J4" s="12" t="s">
        <v>79</v>
      </c>
      <c r="K4" s="12"/>
    </row>
    <row r="5" spans="1:18">
      <c r="A5">
        <v>1</v>
      </c>
      <c r="B5" s="1" t="s">
        <v>136</v>
      </c>
      <c r="C5" t="s">
        <v>52</v>
      </c>
      <c r="D5" t="s">
        <v>59</v>
      </c>
      <c r="E5" t="s">
        <v>59</v>
      </c>
      <c r="F5">
        <v>1</v>
      </c>
      <c r="G5">
        <v>1</v>
      </c>
      <c r="H5" t="s">
        <v>71</v>
      </c>
    </row>
    <row r="6" spans="1:18">
      <c r="A6">
        <v>0</v>
      </c>
      <c r="B6" s="1" t="s">
        <v>137</v>
      </c>
      <c r="C6">
        <v>1</v>
      </c>
      <c r="D6" t="s">
        <v>60</v>
      </c>
      <c r="E6" t="s">
        <v>60</v>
      </c>
      <c r="F6">
        <v>0</v>
      </c>
      <c r="H6" t="s">
        <v>72</v>
      </c>
      <c r="R6" t="s">
        <v>130</v>
      </c>
    </row>
    <row r="7" spans="1:18">
      <c r="A7">
        <v>2</v>
      </c>
      <c r="B7">
        <v>1</v>
      </c>
      <c r="C7">
        <v>0</v>
      </c>
      <c r="D7" t="s">
        <v>61</v>
      </c>
      <c r="E7" t="s">
        <v>61</v>
      </c>
      <c r="F7">
        <v>2</v>
      </c>
      <c r="H7" t="s">
        <v>73</v>
      </c>
    </row>
    <row r="8" spans="1:18">
      <c r="A8"/>
      <c r="B8">
        <v>2</v>
      </c>
      <c r="C8">
        <v>2</v>
      </c>
      <c r="D8" t="s">
        <v>62</v>
      </c>
      <c r="E8" t="s">
        <v>62</v>
      </c>
      <c r="H8" t="s">
        <v>74</v>
      </c>
    </row>
    <row r="9" spans="1:18">
      <c r="A9"/>
      <c r="B9">
        <v>3</v>
      </c>
      <c r="C9">
        <v>4</v>
      </c>
      <c r="D9" t="s">
        <v>63</v>
      </c>
      <c r="E9" t="s">
        <v>63</v>
      </c>
      <c r="H9" t="s">
        <v>75</v>
      </c>
    </row>
    <row r="10" spans="1:18">
      <c r="A10"/>
      <c r="B10">
        <v>4</v>
      </c>
      <c r="D10" t="s">
        <v>64</v>
      </c>
      <c r="E10" t="s">
        <v>64</v>
      </c>
      <c r="H10" t="s">
        <v>76</v>
      </c>
    </row>
    <row r="11" spans="1:18">
      <c r="A11"/>
      <c r="B11">
        <v>5</v>
      </c>
      <c r="D11" t="s">
        <v>47</v>
      </c>
      <c r="E11">
        <v>1</v>
      </c>
      <c r="H11" t="s">
        <v>77</v>
      </c>
    </row>
    <row r="12" spans="1:18">
      <c r="A12"/>
      <c r="B12"/>
      <c r="D12" t="s">
        <v>65</v>
      </c>
      <c r="E12">
        <v>2</v>
      </c>
      <c r="H12">
        <v>0</v>
      </c>
    </row>
    <row r="13" spans="1:18">
      <c r="A13"/>
      <c r="B13"/>
      <c r="D13">
        <v>1</v>
      </c>
      <c r="E13">
        <v>3</v>
      </c>
      <c r="H13">
        <v>1</v>
      </c>
    </row>
    <row r="14" spans="1:18">
      <c r="D14">
        <v>2</v>
      </c>
      <c r="E14">
        <v>4</v>
      </c>
      <c r="H14">
        <v>2</v>
      </c>
    </row>
    <row r="15" spans="1:18">
      <c r="D15">
        <v>3</v>
      </c>
      <c r="E15">
        <v>5</v>
      </c>
      <c r="H15">
        <v>3</v>
      </c>
    </row>
    <row r="16" spans="1:18">
      <c r="D16">
        <v>4</v>
      </c>
      <c r="E16">
        <v>6</v>
      </c>
      <c r="H16">
        <v>4</v>
      </c>
    </row>
    <row r="17" spans="4:8">
      <c r="D17">
        <v>5</v>
      </c>
      <c r="E17">
        <v>7</v>
      </c>
      <c r="H17">
        <v>5</v>
      </c>
    </row>
    <row r="18" spans="4:8">
      <c r="D18">
        <v>6</v>
      </c>
      <c r="E18">
        <v>8</v>
      </c>
      <c r="H18">
        <v>6</v>
      </c>
    </row>
    <row r="19" spans="4:8">
      <c r="D19">
        <v>7</v>
      </c>
      <c r="E19">
        <v>9</v>
      </c>
      <c r="H19">
        <v>7</v>
      </c>
    </row>
    <row r="20" spans="4:8">
      <c r="D20">
        <v>8</v>
      </c>
      <c r="H20">
        <v>8</v>
      </c>
    </row>
    <row r="21" spans="4:8">
      <c r="D21">
        <v>9</v>
      </c>
      <c r="H21">
        <v>9</v>
      </c>
    </row>
    <row r="22" spans="4:8">
      <c r="D22">
        <v>10</v>
      </c>
    </row>
    <row r="23" spans="4:8">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ValidGroupVisibilities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dc:creator>
  <cp:lastModifiedBy>Tony</cp:lastModifiedBy>
  <dcterms:created xsi:type="dcterms:W3CDTF">2008-01-30T00:41:58Z</dcterms:created>
  <dcterms:modified xsi:type="dcterms:W3CDTF">2012-07-25T21:32:42Z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Smrf.NodeXL.ExcelTemplate.vsto|aa51c0f3-62b4-4782-83a8-a15dcdd17698</vt:lpwstr>
  </property>
  <property fmtid="{D5CDD505-2E9C-101B-9397-08002B2CF9AE}" pid="3" name="_AssemblyName">
    <vt:lpwstr>4E3C66D5-58D4-491E-A7D4-64AF99AF6E8B</vt:lpwstr>
  </property>
</Properties>
</file>